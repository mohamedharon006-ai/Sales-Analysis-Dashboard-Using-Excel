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202300"/>
  <mc:AlternateContent xmlns:mc="http://schemas.openxmlformats.org/markup-compatibility/2006">
    <mc:Choice Requires="x15">
      <x15ac:absPath xmlns:x15ac="http://schemas.microsoft.com/office/spreadsheetml/2010/11/ac" url="D:\Project Excel\"/>
    </mc:Choice>
  </mc:AlternateContent>
  <xr:revisionPtr revIDLastSave="0" documentId="13_ncr:1_{9ECDC8A4-B240-4F92-A32C-34086E12625F}" xr6:coauthVersionLast="47" xr6:coauthVersionMax="47" xr10:uidLastSave="{00000000-0000-0000-0000-000000000000}"/>
  <bookViews>
    <workbookView xWindow="-108" yWindow="-108" windowWidth="23256" windowHeight="12456" tabRatio="599" activeTab="1" xr2:uid="{E38147E7-F460-4CC1-97B8-47F09FA8C5D7}"/>
  </bookViews>
  <sheets>
    <sheet name="الرئيسي" sheetId="8" r:id="rId1"/>
    <sheet name="لوحة التحكم" sheetId="16" r:id="rId2"/>
    <sheet name="قاعدة البيانات" sheetId="14" r:id="rId3"/>
    <sheet name="المبيعات بالعملاء" sheetId="9" r:id="rId4"/>
    <sheet name="المبيعات بانواع العملاء" sheetId="10" r:id="rId5"/>
    <sheet name="المبيعات بالمنطقة" sheetId="11" r:id="rId6"/>
    <sheet name="المبيعات بالمندوب " sheetId="12" r:id="rId7"/>
    <sheet name="تريند المبيعات" sheetId="13" r:id="rId8"/>
  </sheets>
  <definedNames>
    <definedName name="_xlnm._FilterDatabase" localSheetId="0" hidden="1">الرئيسي!$E$4:$E$22</definedName>
    <definedName name="_xlcn.WorksheetConnection_first.xlsxالرئيسى1" hidden="1">الرئيسى[]</definedName>
    <definedName name="_xlcn.WorksheetConnection_first.xlsxتحليل1" hidden="1">تحليل</definedName>
    <definedName name="_xlcn.WorksheetConnection_first.xlsxمختصر1" hidden="1">مختصر[]</definedName>
    <definedName name="_xlnm.Extract" localSheetId="0">الرئيسي!$O$5:$O$17</definedName>
    <definedName name="Slicer_اسم_العميل">#N/A</definedName>
    <definedName name="Slicer_المنطقة">#N/A</definedName>
  </definedNames>
  <calcPr calcId="191029"/>
  <pivotCaches>
    <pivotCache cacheId="519" r:id="rId9"/>
    <pivotCache cacheId="521" r:id="rId10"/>
    <pivotCache cacheId="523" r:id="rId11"/>
    <pivotCache cacheId="528" r:id="rId12"/>
    <pivotCache cacheId="530" r:id="rId13"/>
    <pivotCache cacheId="526" r:id="rId14"/>
  </pivotCaches>
  <extLst>
    <ext xmlns:x14="http://schemas.microsoft.com/office/spreadsheetml/2009/9/main" uri="{876F7934-8845-4945-9796-88D515C7AA90}">
      <x14:pivotCaches>
        <pivotCache cacheId="262"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تحليل" name="تحليل" connection="WorksheetConnection_first.xlsx!تحليل"/>
          <x15:modelTable id="الرئيسى" name="الرئيسى" connection="WorksheetConnection_first.xlsx!الرئيسى"/>
          <x15:modelTable id="مختصر" name="مختصر" connection="WorksheetConnection_first.xlsx!مختصر"/>
        </x15:modelTables>
        <x15:modelRelationships>
          <x15:modelRelationship fromTable="الرئيسى" fromColumn="اسم العميل" toTable="مختصر" toColumn="اسم العميل"/>
        </x15:modelRelationships>
        <x15:extLst>
          <ext xmlns:x16="http://schemas.microsoft.com/office/spreadsheetml/2014/11/main" uri="{9835A34E-60A6-4A7C-AAB8-D5F71C897F49}">
            <x16:modelTimeGroupings>
              <x16:modelTimeGrouping tableName="الرئيسى" columnName="التاريخ" columnId="التاريخ">
                <x16:calculatedTimeColumn columnName="التاريخ (Month Index)" columnId="التاريخ (Month Index)" contentType="monthsindex" isSelected="1"/>
                <x16:calculatedTimeColumn columnName="التاريخ (Month)" columnId="التاريخ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5" i="8" l="1"/>
  <c r="Q6" i="8"/>
  <c r="Q7" i="8"/>
  <c r="Q8" i="8"/>
  <c r="Q9" i="8"/>
  <c r="Q10" i="8"/>
  <c r="Q11" i="8"/>
  <c r="Q12" i="8"/>
  <c r="Q13" i="8"/>
  <c r="Q14" i="8"/>
  <c r="P14" i="8"/>
  <c r="H5" i="8"/>
  <c r="I5" i="8" s="1"/>
  <c r="P5" i="8" s="1"/>
  <c r="H6" i="8"/>
  <c r="I6" i="8" s="1"/>
  <c r="P6" i="8" s="1"/>
  <c r="H7" i="8"/>
  <c r="I7" i="8" s="1"/>
  <c r="H8" i="8"/>
  <c r="I8" i="8" s="1"/>
  <c r="P8" i="8" s="1"/>
  <c r="H9" i="8"/>
  <c r="I9" i="8" s="1"/>
  <c r="H10" i="8"/>
  <c r="I10" i="8" s="1"/>
  <c r="P10" i="8" s="1"/>
  <c r="H11" i="8"/>
  <c r="I11" i="8" s="1"/>
  <c r="P11" i="8" s="1"/>
  <c r="R11" i="8" s="1"/>
  <c r="H12" i="8"/>
  <c r="I12" i="8" s="1"/>
  <c r="H13" i="8"/>
  <c r="I13" i="8" s="1"/>
  <c r="P12" i="8" s="1"/>
  <c r="R12" i="8" s="1"/>
  <c r="H14" i="8"/>
  <c r="I14" i="8" s="1"/>
  <c r="P13" i="8" s="1"/>
  <c r="R13" i="8" s="1"/>
  <c r="H15" i="8"/>
  <c r="I15" i="8" s="1"/>
  <c r="H16" i="8"/>
  <c r="I16" i="8" s="1"/>
  <c r="H17" i="8"/>
  <c r="I17" i="8" s="1"/>
  <c r="H18" i="8"/>
  <c r="I18" i="8" s="1"/>
  <c r="H19" i="8"/>
  <c r="I19" i="8" s="1"/>
  <c r="H20" i="8"/>
  <c r="I20" i="8" s="1"/>
  <c r="H21" i="8"/>
  <c r="I21" i="8" s="1"/>
  <c r="H22" i="8"/>
  <c r="I22" i="8" s="1"/>
  <c r="P7" i="8" l="1"/>
  <c r="R7" i="8" s="1"/>
  <c r="P9" i="8"/>
  <c r="R9" i="8" s="1"/>
  <c r="R10" i="8"/>
  <c r="R8" i="8"/>
  <c r="R6" i="8"/>
  <c r="R14" i="8"/>
  <c r="R5" i="8"/>
  <c r="S9" i="8" l="1"/>
  <c r="S13" i="8"/>
  <c r="S11" i="8"/>
  <c r="S8" i="8"/>
  <c r="S12" i="8"/>
  <c r="S10" i="8"/>
  <c r="S6" i="8"/>
  <c r="S14" i="8"/>
  <c r="S5" i="8"/>
  <c r="S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22CAFC-B959-4AB0-9307-A0F424374AB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D9BD11A-F8C4-4704-9A1F-1689CBDD2B8D}" name="WorksheetConnection_first.xlsx!الرئيسى" type="102" refreshedVersion="8" minRefreshableVersion="5">
    <extLst>
      <ext xmlns:x15="http://schemas.microsoft.com/office/spreadsheetml/2010/11/main" uri="{DE250136-89BD-433C-8126-D09CA5730AF9}">
        <x15:connection id="الرئيسى" autoDelete="1">
          <x15:rangePr sourceName="_xlcn.WorksheetConnection_first.xlsxالرئيسى1"/>
        </x15:connection>
      </ext>
    </extLst>
  </connection>
  <connection id="3" xr16:uid="{3A943D97-277D-466A-A16A-36A74C30D11C}" name="WorksheetConnection_first.xlsx!تحليل" type="102" refreshedVersion="8" minRefreshableVersion="5">
    <extLst>
      <ext xmlns:x15="http://schemas.microsoft.com/office/spreadsheetml/2010/11/main" uri="{DE250136-89BD-433C-8126-D09CA5730AF9}">
        <x15:connection id="تحليل" autoDelete="1">
          <x15:rangePr sourceName="_xlcn.WorksheetConnection_first.xlsxتحليل1"/>
        </x15:connection>
      </ext>
    </extLst>
  </connection>
  <connection id="4" xr16:uid="{1AE62B5D-0E36-48D6-9E46-D39DD4577BDA}" name="WorksheetConnection_first.xlsx!مختصر" type="102" refreshedVersion="8" minRefreshableVersion="5">
    <extLst>
      <ext xmlns:x15="http://schemas.microsoft.com/office/spreadsheetml/2010/11/main" uri="{DE250136-89BD-433C-8126-D09CA5730AF9}">
        <x15:connection id="مختصر" autoDelete="1">
          <x15:rangePr sourceName="_xlcn.WorksheetConnection_first.xlsxمختصر1"/>
        </x15:connection>
      </ext>
    </extLst>
  </connection>
</connections>
</file>

<file path=xl/sharedStrings.xml><?xml version="1.0" encoding="utf-8"?>
<sst xmlns="http://schemas.openxmlformats.org/spreadsheetml/2006/main" count="151" uniqueCount="52">
  <si>
    <t xml:space="preserve">اسم العميل </t>
  </si>
  <si>
    <t>خصم</t>
  </si>
  <si>
    <t xml:space="preserve">المنصورة </t>
  </si>
  <si>
    <t>القاهرة</t>
  </si>
  <si>
    <t>المنيا</t>
  </si>
  <si>
    <t>البيان</t>
  </si>
  <si>
    <t>القيمه</t>
  </si>
  <si>
    <t>الضريبه</t>
  </si>
  <si>
    <t xml:space="preserve">الصافي </t>
  </si>
  <si>
    <t xml:space="preserve">المنطقة </t>
  </si>
  <si>
    <t>المندوب</t>
  </si>
  <si>
    <t>هشام فتحى</t>
  </si>
  <si>
    <t>مصطفي يسرى</t>
  </si>
  <si>
    <t>مريم محمود</t>
  </si>
  <si>
    <t>سيد عفيفي</t>
  </si>
  <si>
    <t>مرتضي المسيرى</t>
  </si>
  <si>
    <t>فاتوره</t>
  </si>
  <si>
    <t>مرتجع</t>
  </si>
  <si>
    <t>البحيره</t>
  </si>
  <si>
    <t>الجيزه</t>
  </si>
  <si>
    <t xml:space="preserve">اسوان </t>
  </si>
  <si>
    <t>الشرقيه</t>
  </si>
  <si>
    <t>محمد</t>
  </si>
  <si>
    <t xml:space="preserve">مصطفى </t>
  </si>
  <si>
    <t>نور</t>
  </si>
  <si>
    <t>سيد</t>
  </si>
  <si>
    <t>بيانات العملاء</t>
  </si>
  <si>
    <t>التاريخ</t>
  </si>
  <si>
    <t>Row Labels</t>
  </si>
  <si>
    <t>احمد ممدوح</t>
  </si>
  <si>
    <t>اسعد شريف</t>
  </si>
  <si>
    <t>اشرف محمود</t>
  </si>
  <si>
    <t>ايمن صادق</t>
  </si>
  <si>
    <t>ساره الشافعى</t>
  </si>
  <si>
    <t>Grand Total</t>
  </si>
  <si>
    <t>Sum of الصافي</t>
  </si>
  <si>
    <t>اسوان</t>
  </si>
  <si>
    <t>المنصورة</t>
  </si>
  <si>
    <t>Mar</t>
  </si>
  <si>
    <t>Jun</t>
  </si>
  <si>
    <t>Aug</t>
  </si>
  <si>
    <t>Sep</t>
  </si>
  <si>
    <t>Nov</t>
  </si>
  <si>
    <t>اسم العميل</t>
  </si>
  <si>
    <t>صافي المبيعات</t>
  </si>
  <si>
    <t>المنطقة</t>
  </si>
  <si>
    <t xml:space="preserve">نوع العميل </t>
  </si>
  <si>
    <t>نسبة المبيعات</t>
  </si>
  <si>
    <t>الشرقية</t>
  </si>
  <si>
    <t>عميل قوى</t>
  </si>
  <si>
    <t>عميل عادى</t>
  </si>
  <si>
    <t>لوحة التحكم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</si>
</sst>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1010000]d/m/yyyy;@"/>
    <numFmt numFmtId="166" formatCode="_([$EGP]\ * #,##0.0_);_([$EGP]\ * \(#,##0.0\);_([$EGP]\ * &quot;-&quot;?_);_(@_)"/>
  </numFmts>
  <fonts count="5" x14ac:knownFonts="1">
    <font>
      <sz val="11"/>
      <color theme="1"/>
      <name val="Aptos Narrow"/>
      <family val="2"/>
      <scheme val="minor"/>
    </font>
    <font>
      <sz val="8"/>
      <name val="Aptos Narrow"/>
      <family val="2"/>
      <scheme val="minor"/>
    </font>
    <font>
      <sz val="20"/>
      <color theme="1"/>
      <name val="Aptos Narrow"/>
      <family val="2"/>
      <scheme val="minor"/>
    </font>
    <font>
      <sz val="11"/>
      <color rgb="FFFF0000"/>
      <name val="Aptos Narrow"/>
      <family val="2"/>
      <scheme val="minor"/>
    </font>
    <font>
      <sz val="36"/>
      <color rgb="FFFF0000"/>
      <name val="Aptos Narrow"/>
      <family val="2"/>
      <scheme val="minor"/>
    </font>
  </fonts>
  <fills count="5">
    <fill>
      <patternFill patternType="none"/>
    </fill>
    <fill>
      <patternFill patternType="gray125"/>
    </fill>
    <fill>
      <patternFill patternType="solid">
        <fgColor theme="3" tint="0.499984740745262"/>
        <bgColor indexed="64"/>
      </patternFill>
    </fill>
    <fill>
      <patternFill patternType="solid">
        <fgColor rgb="FFFFFF00"/>
        <bgColor indexed="64"/>
      </patternFill>
    </fill>
    <fill>
      <patternFill patternType="solid">
        <fgColor theme="3" tint="0.74999237037263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36">
    <xf numFmtId="0" fontId="0" fillId="0" borderId="0" xfId="0"/>
    <xf numFmtId="0" fontId="0" fillId="0" borderId="1" xfId="0" applyBorder="1"/>
    <xf numFmtId="0" fontId="0" fillId="0" borderId="2" xfId="0" applyBorder="1"/>
    <xf numFmtId="166" fontId="0" fillId="0" borderId="1" xfId="0" applyNumberFormat="1" applyBorder="1"/>
    <xf numFmtId="0" fontId="0" fillId="0" borderId="3" xfId="0" applyBorder="1"/>
    <xf numFmtId="0" fontId="0" fillId="0" borderId="4" xfId="0" applyBorder="1"/>
    <xf numFmtId="0" fontId="0" fillId="0" borderId="5" xfId="0" applyBorder="1"/>
    <xf numFmtId="0" fontId="0" fillId="0" borderId="8" xfId="0" applyBorder="1"/>
    <xf numFmtId="0" fontId="0" fillId="0" borderId="9" xfId="0" applyBorder="1"/>
    <xf numFmtId="0" fontId="0" fillId="0" borderId="6" xfId="0" applyBorder="1"/>
    <xf numFmtId="0" fontId="0" fillId="0" borderId="7" xfId="0" applyBorder="1"/>
    <xf numFmtId="164" fontId="0" fillId="0" borderId="1" xfId="0" applyNumberFormat="1" applyBorder="1"/>
    <xf numFmtId="164" fontId="0" fillId="0" borderId="2" xfId="0" applyNumberFormat="1" applyBorder="1"/>
    <xf numFmtId="166" fontId="0" fillId="0" borderId="2" xfId="0" applyNumberFormat="1" applyBorder="1"/>
    <xf numFmtId="165" fontId="0" fillId="0" borderId="6" xfId="0" applyNumberFormat="1" applyBorder="1"/>
    <xf numFmtId="14" fontId="0" fillId="0" borderId="6" xfId="0" applyNumberFormat="1" applyBorder="1"/>
    <xf numFmtId="0" fontId="0" fillId="0" borderId="0" xfId="0" pivotButton="1"/>
    <xf numFmtId="0" fontId="0" fillId="0" borderId="0" xfId="0" applyAlignment="1">
      <alignment horizontal="right"/>
    </xf>
    <xf numFmtId="0" fontId="2" fillId="2" borderId="0" xfId="0" applyFont="1" applyFill="1" applyAlignment="1">
      <alignment horizontal="center"/>
    </xf>
    <xf numFmtId="0" fontId="0" fillId="3" borderId="1" xfId="0" applyFill="1" applyBorder="1"/>
    <xf numFmtId="0" fontId="0" fillId="0" borderId="0" xfId="0" applyBorder="1"/>
    <xf numFmtId="166" fontId="0" fillId="0" borderId="0" xfId="0" applyNumberFormat="1" applyBorder="1"/>
    <xf numFmtId="0" fontId="0" fillId="0" borderId="6" xfId="0" applyFont="1" applyBorder="1"/>
    <xf numFmtId="10" fontId="0" fillId="0" borderId="6" xfId="0" applyNumberFormat="1"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xf numFmtId="0" fontId="3" fillId="0" borderId="0" xfId="0" applyFont="1"/>
    <xf numFmtId="0" fontId="4" fillId="4" borderId="0" xfId="0" applyFont="1" applyFill="1" applyAlignment="1">
      <alignment horizontal="center"/>
    </xf>
  </cellXfs>
  <cellStyles count="1">
    <cellStyle name="Normal" xfId="0" builtinId="0"/>
  </cellStyles>
  <dxfs count="21">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EGP]\ * #,##0.0_);_([$EGP]\ * \(#,##0.0\);_([$EGP]\ * &quot;-&quot;?_);_(@_)"/>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EGP]\ * #,##0.0_);_([$EGP]\ * \(#,##0.0\);_([$EGP]\ * &quot;-&quot;?_);_(@_)"/>
      <border diagonalUp="0" diagonalDown="0">
        <left style="thin">
          <color indexed="64"/>
        </left>
        <right style="thin">
          <color indexed="64"/>
        </right>
        <top style="thin">
          <color indexed="64"/>
        </top>
        <bottom style="thin">
          <color indexed="64"/>
        </bottom>
      </border>
    </dxf>
    <dxf>
      <numFmt numFmtId="164" formatCode="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calcChain" Target="calcChain.xml"/><Relationship Id="rId10" Type="http://schemas.openxmlformats.org/officeDocument/2006/relationships/pivotCacheDefinition" Target="pivotCache/pivotCacheDefinition2.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بالعملاء!المبيعات بالعملاء</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a:t>
            </a:r>
            <a:r>
              <a:rPr lang="ar-EG" baseline="0"/>
              <a:t> بالعملاء</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'المبيعات بالعملاء'!$B$3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بالعملاء'!$A$4:$A$7</c:f>
              <c:strCache>
                <c:ptCount val="3"/>
                <c:pt idx="0">
                  <c:v>اسعد شريف</c:v>
                </c:pt>
                <c:pt idx="1">
                  <c:v>ايمن صادق</c:v>
                </c:pt>
                <c:pt idx="2">
                  <c:v>ساره الشافعى</c:v>
                </c:pt>
              </c:strCache>
            </c:strRef>
          </c:cat>
          <c:val>
            <c:numRef>
              <c:f>'المبيعات بالعملاء'!$B$4:$B$7</c:f>
              <c:numCache>
                <c:formatCode>General</c:formatCode>
                <c:ptCount val="3"/>
                <c:pt idx="0">
                  <c:v>2580</c:v>
                </c:pt>
                <c:pt idx="1">
                  <c:v>9460</c:v>
                </c:pt>
                <c:pt idx="2">
                  <c:v>13760</c:v>
                </c:pt>
              </c:numCache>
            </c:numRef>
          </c:val>
          <c:extLst>
            <c:ext xmlns:c16="http://schemas.microsoft.com/office/drawing/2014/chart" uri="{C3380CC4-5D6E-409C-BE32-E72D297353CC}">
              <c16:uniqueId val="{00000000-E9D6-493D-A1B8-04716CAE4032}"/>
            </c:ext>
          </c:extLst>
        </c:ser>
        <c:dLbls>
          <c:dLblPos val="outEnd"/>
          <c:showLegendKey val="0"/>
          <c:showVal val="1"/>
          <c:showCatName val="0"/>
          <c:showSerName val="0"/>
          <c:showPercent val="0"/>
          <c:showBubbleSize val="0"/>
        </c:dLbls>
        <c:gapWidth val="219"/>
        <c:overlap val="-27"/>
        <c:axId val="232634671"/>
        <c:axId val="232629391"/>
      </c:barChart>
      <c:catAx>
        <c:axId val="2326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29391"/>
        <c:crosses val="autoZero"/>
        <c:auto val="1"/>
        <c:lblAlgn val="ctr"/>
        <c:lblOffset val="100"/>
        <c:noMultiLvlLbl val="0"/>
      </c:catAx>
      <c:valAx>
        <c:axId val="2326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بانواع العملاء!رئيسى</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 بتصنيف العملاء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'المبيعات بانواع العملاء'!$B$4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بانواع العملاء'!$A$5:$A$7</c:f>
              <c:strCache>
                <c:ptCount val="2"/>
                <c:pt idx="0">
                  <c:v>عميل عادى</c:v>
                </c:pt>
                <c:pt idx="1">
                  <c:v>عميل قوى</c:v>
                </c:pt>
              </c:strCache>
            </c:strRef>
          </c:cat>
          <c:val>
            <c:numRef>
              <c:f>'المبيعات بانواع العملاء'!$B$5:$B$7</c:f>
              <c:numCache>
                <c:formatCode>General</c:formatCode>
                <c:ptCount val="2"/>
                <c:pt idx="0">
                  <c:v>2580</c:v>
                </c:pt>
                <c:pt idx="1">
                  <c:v>23220</c:v>
                </c:pt>
              </c:numCache>
            </c:numRef>
          </c:val>
          <c:extLst>
            <c:ext xmlns:c16="http://schemas.microsoft.com/office/drawing/2014/chart" uri="{C3380CC4-5D6E-409C-BE32-E72D297353CC}">
              <c16:uniqueId val="{00000000-99E2-4E71-B21D-8A3665187A50}"/>
            </c:ext>
          </c:extLst>
        </c:ser>
        <c:dLbls>
          <c:dLblPos val="outEnd"/>
          <c:showLegendKey val="0"/>
          <c:showVal val="1"/>
          <c:showCatName val="0"/>
          <c:showSerName val="0"/>
          <c:showPercent val="0"/>
          <c:showBubbleSize val="0"/>
        </c:dLbls>
        <c:gapWidth val="182"/>
        <c:axId val="458903840"/>
        <c:axId val="470594880"/>
      </c:barChart>
      <c:catAx>
        <c:axId val="45890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94880"/>
        <c:crosses val="autoZero"/>
        <c:auto val="1"/>
        <c:lblAlgn val="ctr"/>
        <c:lblOffset val="100"/>
        <c:noMultiLvlLbl val="0"/>
      </c:catAx>
      <c:valAx>
        <c:axId val="47059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0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بالمنطقة!المبيعات بالمنطقة</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a:t>
            </a:r>
            <a:r>
              <a:rPr lang="ar-EG" baseline="0"/>
              <a:t> بالمنطقة</a:t>
            </a:r>
          </a:p>
          <a:p>
            <a:pPr>
              <a:defRPr/>
            </a:pP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s>
    <c:plotArea>
      <c:layout/>
      <c:pieChart>
        <c:varyColors val="1"/>
        <c:ser>
          <c:idx val="0"/>
          <c:order val="0"/>
          <c:tx>
            <c:strRef>
              <c:f>'المبيعات بالمنطقة'!$B$3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12-47BF-8E6B-FFCC28D040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12-47BF-8E6B-FFCC28D040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12-47BF-8E6B-FFCC28D040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12-47BF-8E6B-FFCC28D040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12-47BF-8E6B-FFCC28D0409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912-47BF-8E6B-FFCC28D0409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912-47BF-8E6B-FFCC28D0409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'المبيعات بالمنطقة'!$A$4:$A$8</c:f>
              <c:strCache>
                <c:ptCount val="4"/>
                <c:pt idx="0">
                  <c:v>البحيره</c:v>
                </c:pt>
                <c:pt idx="1">
                  <c:v>الجيزه</c:v>
                </c:pt>
                <c:pt idx="2">
                  <c:v>الشرقيه</c:v>
                </c:pt>
                <c:pt idx="3">
                  <c:v>المنصورة</c:v>
                </c:pt>
              </c:strCache>
            </c:strRef>
          </c:cat>
          <c:val>
            <c:numRef>
              <c:f>'المبيعات بالمنطقة'!$B$4:$B$8</c:f>
              <c:numCache>
                <c:formatCode>General</c:formatCode>
                <c:ptCount val="4"/>
                <c:pt idx="0">
                  <c:v>2580</c:v>
                </c:pt>
                <c:pt idx="1">
                  <c:v>1720</c:v>
                </c:pt>
                <c:pt idx="2">
                  <c:v>13760</c:v>
                </c:pt>
                <c:pt idx="3">
                  <c:v>7740</c:v>
                </c:pt>
              </c:numCache>
            </c:numRef>
          </c:val>
          <c:extLst>
            <c:ext xmlns:c16="http://schemas.microsoft.com/office/drawing/2014/chart" uri="{C3380CC4-5D6E-409C-BE32-E72D297353CC}">
              <c16:uniqueId val="{0000000E-9912-47BF-8E6B-FFCC28D04099}"/>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بالمندوب !المبيعات بالمندوب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aseline="0"/>
              <a:t>المبيعات بالمندوب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'المبيعات بالمندوب '!$B$4</c:f>
              <c:strCache>
                <c:ptCount val="1"/>
                <c:pt idx="0">
                  <c:v>Total</c:v>
                </c:pt>
              </c:strCache>
            </c:strRef>
          </c:tx>
          <c:spPr>
            <a:solidFill>
              <a:schemeClr val="accent1"/>
            </a:solidFill>
            <a:ln>
              <a:noFill/>
            </a:ln>
            <a:effectLst/>
          </c:spPr>
          <c:invertIfNegative val="0"/>
          <c:cat>
            <c:strRef>
              <c:f>'المبيعات بالمندوب '!$A$5:$A$8</c:f>
              <c:strCache>
                <c:ptCount val="3"/>
                <c:pt idx="0">
                  <c:v>سيد</c:v>
                </c:pt>
                <c:pt idx="1">
                  <c:v>محمد</c:v>
                </c:pt>
                <c:pt idx="2">
                  <c:v>نور</c:v>
                </c:pt>
              </c:strCache>
            </c:strRef>
          </c:cat>
          <c:val>
            <c:numRef>
              <c:f>'المبيعات بالمندوب '!$B$5:$B$8</c:f>
              <c:numCache>
                <c:formatCode>General</c:formatCode>
                <c:ptCount val="3"/>
                <c:pt idx="0">
                  <c:v>1720</c:v>
                </c:pt>
                <c:pt idx="1">
                  <c:v>2580</c:v>
                </c:pt>
                <c:pt idx="2">
                  <c:v>21500</c:v>
                </c:pt>
              </c:numCache>
            </c:numRef>
          </c:val>
          <c:extLst>
            <c:ext xmlns:c16="http://schemas.microsoft.com/office/drawing/2014/chart" uri="{C3380CC4-5D6E-409C-BE32-E72D297353CC}">
              <c16:uniqueId val="{00000000-680C-4915-BE83-51E1702374D1}"/>
            </c:ext>
          </c:extLst>
        </c:ser>
        <c:dLbls>
          <c:showLegendKey val="0"/>
          <c:showVal val="0"/>
          <c:showCatName val="0"/>
          <c:showSerName val="0"/>
          <c:showPercent val="0"/>
          <c:showBubbleSize val="0"/>
        </c:dLbls>
        <c:gapWidth val="182"/>
        <c:axId val="796310959"/>
        <c:axId val="796308079"/>
      </c:barChart>
      <c:catAx>
        <c:axId val="79631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08079"/>
        <c:crosses val="autoZero"/>
        <c:auto val="1"/>
        <c:lblAlgn val="ctr"/>
        <c:lblOffset val="100"/>
        <c:noMultiLvlLbl val="0"/>
      </c:catAx>
      <c:valAx>
        <c:axId val="79630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10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[first.xlsx]تريند المبيعات!تريند المبيعات </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تريند المبيعات</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'تريند المبيعات'!$B$3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'تريند المبيعات'!$A$4:$A$9</c:f>
              <c:strCache>
                <c:ptCount val="5"/>
                <c:pt idx="0">
                  <c:v>Mar</c:v>
                </c:pt>
                <c:pt idx="1">
                  <c:v>Jun</c:v>
                </c:pt>
                <c:pt idx="2">
                  <c:v>Aug</c:v>
                </c:pt>
                <c:pt idx="3">
                  <c:v>Sep</c:v>
                </c:pt>
                <c:pt idx="4">
                  <c:v>Nov</c:v>
                </c:pt>
              </c:strCache>
            </c:strRef>
          </c:cat>
          <c:val>
            <c:numRef>
              <c:f>'تريند المبيعات'!$B$4:$B$9</c:f>
              <c:numCache>
                <c:formatCode>General</c:formatCode>
                <c:ptCount val="5"/>
                <c:pt idx="0">
                  <c:v>4300</c:v>
                </c:pt>
                <c:pt idx="1">
                  <c:v>3440</c:v>
                </c:pt>
                <c:pt idx="2">
                  <c:v>1720</c:v>
                </c:pt>
                <c:pt idx="3">
                  <c:v>2580</c:v>
                </c:pt>
                <c:pt idx="4">
                  <c:v>13760</c:v>
                </c:pt>
              </c:numCache>
            </c:numRef>
          </c:val>
          <c:smooth val="0"/>
          <c:extLst>
            <c:ext xmlns:c16="http://schemas.microsoft.com/office/drawing/2014/chart" uri="{C3380CC4-5D6E-409C-BE32-E72D297353CC}">
              <c16:uniqueId val="{00000001-20C0-40F8-BD0E-2A94A563B9E5}"/>
            </c:ext>
          </c:extLst>
        </c:ser>
        <c:dLbls>
          <c:dLblPos val="t"/>
          <c:showLegendKey val="0"/>
          <c:showVal val="1"/>
          <c:showCatName val="0"/>
          <c:showSerName val="0"/>
          <c:showPercent val="0"/>
          <c:showBubbleSize val="0"/>
        </c:dLbls>
        <c:marker val="1"/>
        <c:smooth val="0"/>
        <c:axId val="796301359"/>
        <c:axId val="796312399"/>
      </c:lineChart>
      <c:catAx>
        <c:axId val="79630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12399"/>
        <c:crosses val="autoZero"/>
        <c:auto val="1"/>
        <c:lblAlgn val="ctr"/>
        <c:lblOffset val="100"/>
        <c:noMultiLvlLbl val="0"/>
      </c:catAx>
      <c:valAx>
        <c:axId val="7963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بالعملاء!المبيعات بالعملاء</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a:t>
            </a:r>
            <a:r>
              <a:rPr lang="ar-EG" baseline="0"/>
              <a:t> بالعملاء</a:t>
            </a: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'المبيعات بالعملاء'!$B$3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بالعملاء'!$A$4:$A$7</c:f>
              <c:strCache>
                <c:ptCount val="3"/>
                <c:pt idx="0">
                  <c:v>اسعد شريف</c:v>
                </c:pt>
                <c:pt idx="1">
                  <c:v>ايمن صادق</c:v>
                </c:pt>
                <c:pt idx="2">
                  <c:v>ساره الشافعى</c:v>
                </c:pt>
              </c:strCache>
            </c:strRef>
          </c:cat>
          <c:val>
            <c:numRef>
              <c:f>'المبيعات بالعملاء'!$B$4:$B$7</c:f>
              <c:numCache>
                <c:formatCode>General</c:formatCode>
                <c:ptCount val="3"/>
                <c:pt idx="0">
                  <c:v>2580</c:v>
                </c:pt>
                <c:pt idx="1">
                  <c:v>9460</c:v>
                </c:pt>
                <c:pt idx="2">
                  <c:v>13760</c:v>
                </c:pt>
              </c:numCache>
            </c:numRef>
          </c:val>
          <c:extLst>
            <c:ext xmlns:c16="http://schemas.microsoft.com/office/drawing/2014/chart" uri="{C3380CC4-5D6E-409C-BE32-E72D297353CC}">
              <c16:uniqueId val="{00000000-076D-41F2-82C7-E3BA471CB893}"/>
            </c:ext>
          </c:extLst>
        </c:ser>
        <c:dLbls>
          <c:dLblPos val="outEnd"/>
          <c:showLegendKey val="0"/>
          <c:showVal val="1"/>
          <c:showCatName val="0"/>
          <c:showSerName val="0"/>
          <c:showPercent val="0"/>
          <c:showBubbleSize val="0"/>
        </c:dLbls>
        <c:gapWidth val="219"/>
        <c:overlap val="-27"/>
        <c:axId val="232634671"/>
        <c:axId val="232629391"/>
      </c:barChart>
      <c:catAx>
        <c:axId val="23263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29391"/>
        <c:crosses val="autoZero"/>
        <c:auto val="1"/>
        <c:lblAlgn val="ctr"/>
        <c:lblOffset val="100"/>
        <c:noMultiLvlLbl val="0"/>
      </c:catAx>
      <c:valAx>
        <c:axId val="23262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34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بانواع العملاء!رئيسى</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 بتصنيف العملاء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'المبيعات بانواع العملاء'!$B$4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'المبيعات بانواع العملاء'!$A$5:$A$7</c:f>
              <c:strCache>
                <c:ptCount val="2"/>
                <c:pt idx="0">
                  <c:v>عميل عادى</c:v>
                </c:pt>
                <c:pt idx="1">
                  <c:v>عميل قوى</c:v>
                </c:pt>
              </c:strCache>
            </c:strRef>
          </c:cat>
          <c:val>
            <c:numRef>
              <c:f>'المبيعات بانواع العملاء'!$B$5:$B$7</c:f>
              <c:numCache>
                <c:formatCode>General</c:formatCode>
                <c:ptCount val="2"/>
                <c:pt idx="0">
                  <c:v>2580</c:v>
                </c:pt>
                <c:pt idx="1">
                  <c:v>23220</c:v>
                </c:pt>
              </c:numCache>
            </c:numRef>
          </c:val>
          <c:extLst>
            <c:ext xmlns:c16="http://schemas.microsoft.com/office/drawing/2014/chart" uri="{C3380CC4-5D6E-409C-BE32-E72D297353CC}">
              <c16:uniqueId val="{00000000-7EC8-4E1F-B4D4-7B4FDD3354CD}"/>
            </c:ext>
          </c:extLst>
        </c:ser>
        <c:dLbls>
          <c:dLblPos val="outEnd"/>
          <c:showLegendKey val="0"/>
          <c:showVal val="1"/>
          <c:showCatName val="0"/>
          <c:showSerName val="0"/>
          <c:showPercent val="0"/>
          <c:showBubbleSize val="0"/>
        </c:dLbls>
        <c:gapWidth val="182"/>
        <c:axId val="458903840"/>
        <c:axId val="470594880"/>
      </c:barChart>
      <c:catAx>
        <c:axId val="458903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94880"/>
        <c:crosses val="autoZero"/>
        <c:auto val="1"/>
        <c:lblAlgn val="ctr"/>
        <c:lblOffset val="100"/>
        <c:noMultiLvlLbl val="0"/>
      </c:catAx>
      <c:valAx>
        <c:axId val="470594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90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بالمنطقة!المبيعات بالمنطقة</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المبيعات</a:t>
            </a:r>
            <a:r>
              <a:rPr lang="ar-EG" baseline="0"/>
              <a:t> بالمنطقة</a:t>
            </a:r>
          </a:p>
          <a:p>
            <a:pPr>
              <a:defRPr/>
            </a:pPr>
            <a:endParaRPr lang="ar-E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'المبيعات بالمنطقة'!$B$3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989-4B6E-BDA5-B60CD0FD4C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989-4B6E-BDA5-B60CD0FD4C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989-4B6E-BDA5-B60CD0FD4C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989-4B6E-BDA5-B60CD0FD4C5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989-4B6E-BDA5-B60CD0FD4C5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989-4B6E-BDA5-B60CD0FD4C5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989-4B6E-BDA5-B60CD0FD4C5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'المبيعات بالمنطقة'!$A$4:$A$8</c:f>
              <c:strCache>
                <c:ptCount val="4"/>
                <c:pt idx="0">
                  <c:v>البحيره</c:v>
                </c:pt>
                <c:pt idx="1">
                  <c:v>الجيزه</c:v>
                </c:pt>
                <c:pt idx="2">
                  <c:v>الشرقيه</c:v>
                </c:pt>
                <c:pt idx="3">
                  <c:v>المنصورة</c:v>
                </c:pt>
              </c:strCache>
            </c:strRef>
          </c:cat>
          <c:val>
            <c:numRef>
              <c:f>'المبيعات بالمنطقة'!$B$4:$B$8</c:f>
              <c:numCache>
                <c:formatCode>General</c:formatCode>
                <c:ptCount val="4"/>
                <c:pt idx="0">
                  <c:v>2580</c:v>
                </c:pt>
                <c:pt idx="1">
                  <c:v>1720</c:v>
                </c:pt>
                <c:pt idx="2">
                  <c:v>13760</c:v>
                </c:pt>
                <c:pt idx="3">
                  <c:v>7740</c:v>
                </c:pt>
              </c:numCache>
            </c:numRef>
          </c:val>
          <c:extLst>
            <c:ext xmlns:c16="http://schemas.microsoft.com/office/drawing/2014/chart" uri="{C3380CC4-5D6E-409C-BE32-E72D297353CC}">
              <c16:uniqueId val="{00000000-47F0-49F1-9A12-4CB8B457694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[first.xlsx]المبيعات بالمندوب !المبيعات بالمندوب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baseline="0"/>
              <a:t>المبيعات بالمندوب</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'المبيعات بالمندوب '!$B$4</c:f>
              <c:strCache>
                <c:ptCount val="1"/>
                <c:pt idx="0">
                  <c:v>Total</c:v>
                </c:pt>
              </c:strCache>
            </c:strRef>
          </c:tx>
          <c:spPr>
            <a:solidFill>
              <a:schemeClr val="accent1"/>
            </a:solidFill>
            <a:ln>
              <a:noFill/>
            </a:ln>
            <a:effectLst/>
          </c:spPr>
          <c:invertIfNegative val="0"/>
          <c:cat>
            <c:strRef>
              <c:f>'المبيعات بالمندوب '!$A$5:$A$8</c:f>
              <c:strCache>
                <c:ptCount val="3"/>
                <c:pt idx="0">
                  <c:v>سيد</c:v>
                </c:pt>
                <c:pt idx="1">
                  <c:v>محمد</c:v>
                </c:pt>
                <c:pt idx="2">
                  <c:v>نور</c:v>
                </c:pt>
              </c:strCache>
            </c:strRef>
          </c:cat>
          <c:val>
            <c:numRef>
              <c:f>'المبيعات بالمندوب '!$B$5:$B$8</c:f>
              <c:numCache>
                <c:formatCode>General</c:formatCode>
                <c:ptCount val="3"/>
                <c:pt idx="0">
                  <c:v>1720</c:v>
                </c:pt>
                <c:pt idx="1">
                  <c:v>2580</c:v>
                </c:pt>
                <c:pt idx="2">
                  <c:v>21500</c:v>
                </c:pt>
              </c:numCache>
            </c:numRef>
          </c:val>
          <c:extLst>
            <c:ext xmlns:c16="http://schemas.microsoft.com/office/drawing/2014/chart" uri="{C3380CC4-5D6E-409C-BE32-E72D297353CC}">
              <c16:uniqueId val="{00000000-8F6F-4585-8005-D49CAE75710A}"/>
            </c:ext>
          </c:extLst>
        </c:ser>
        <c:dLbls>
          <c:showLegendKey val="0"/>
          <c:showVal val="0"/>
          <c:showCatName val="0"/>
          <c:showSerName val="0"/>
          <c:showPercent val="0"/>
          <c:showBubbleSize val="0"/>
        </c:dLbls>
        <c:gapWidth val="182"/>
        <c:axId val="796310959"/>
        <c:axId val="796308079"/>
      </c:barChart>
      <c:catAx>
        <c:axId val="796310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08079"/>
        <c:crosses val="autoZero"/>
        <c:auto val="1"/>
        <c:lblAlgn val="ctr"/>
        <c:lblOffset val="100"/>
        <c:noMultiLvlLbl val="0"/>
      </c:catAx>
      <c:valAx>
        <c:axId val="7963080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109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[first.xlsx]تريند المبيعات!تريند المبيعات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ar-EG"/>
              <a:t>تريند المبيعات</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'تريند المبيعات'!$B$3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'تريند المبيعات'!$A$4:$A$9</c:f>
              <c:strCache>
                <c:ptCount val="5"/>
                <c:pt idx="0">
                  <c:v>Mar</c:v>
                </c:pt>
                <c:pt idx="1">
                  <c:v>Jun</c:v>
                </c:pt>
                <c:pt idx="2">
                  <c:v>Aug</c:v>
                </c:pt>
                <c:pt idx="3">
                  <c:v>Sep</c:v>
                </c:pt>
                <c:pt idx="4">
                  <c:v>Nov</c:v>
                </c:pt>
              </c:strCache>
            </c:strRef>
          </c:cat>
          <c:val>
            <c:numRef>
              <c:f>'تريند المبيعات'!$B$4:$B$9</c:f>
              <c:numCache>
                <c:formatCode>General</c:formatCode>
                <c:ptCount val="5"/>
                <c:pt idx="0">
                  <c:v>4300</c:v>
                </c:pt>
                <c:pt idx="1">
                  <c:v>3440</c:v>
                </c:pt>
                <c:pt idx="2">
                  <c:v>1720</c:v>
                </c:pt>
                <c:pt idx="3">
                  <c:v>2580</c:v>
                </c:pt>
                <c:pt idx="4">
                  <c:v>13760</c:v>
                </c:pt>
              </c:numCache>
            </c:numRef>
          </c:val>
          <c:smooth val="0"/>
          <c:extLst>
            <c:ext xmlns:c16="http://schemas.microsoft.com/office/drawing/2014/chart" uri="{C3380CC4-5D6E-409C-BE32-E72D297353CC}">
              <c16:uniqueId val="{00000000-DC93-4708-9647-D0F2280A4EE8}"/>
            </c:ext>
          </c:extLst>
        </c:ser>
        <c:dLbls>
          <c:dLblPos val="t"/>
          <c:showLegendKey val="0"/>
          <c:showVal val="1"/>
          <c:showCatName val="0"/>
          <c:showSerName val="0"/>
          <c:showPercent val="0"/>
          <c:showBubbleSize val="0"/>
        </c:dLbls>
        <c:marker val="1"/>
        <c:smooth val="0"/>
        <c:axId val="796301359"/>
        <c:axId val="796312399"/>
      </c:lineChart>
      <c:catAx>
        <c:axId val="79630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12399"/>
        <c:crosses val="autoZero"/>
        <c:auto val="1"/>
        <c:lblAlgn val="ctr"/>
        <c:lblOffset val="100"/>
        <c:noMultiLvlLbl val="0"/>
      </c:catAx>
      <c:valAx>
        <c:axId val="7963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3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374542</xdr:colOff>
      <xdr:row>2</xdr:row>
      <xdr:rowOff>71937</xdr:rowOff>
    </xdr:from>
    <xdr:to>
      <xdr:col>11</xdr:col>
      <xdr:colOff>581187</xdr:colOff>
      <xdr:row>23</xdr:row>
      <xdr:rowOff>25829</xdr:rowOff>
    </xdr:to>
    <xdr:graphicFrame macro="">
      <xdr:nvGraphicFramePr>
        <xdr:cNvPr id="2" name="Chart 1">
          <a:extLst>
            <a:ext uri="{FF2B5EF4-FFF2-40B4-BE49-F238E27FC236}">
              <a16:creationId xmlns:a16="http://schemas.microsoft.com/office/drawing/2014/main" id="{B9BD5EB8-C993-4F53-A87D-E61FD904C8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12916</xdr:colOff>
      <xdr:row>20</xdr:row>
      <xdr:rowOff>36162</xdr:rowOff>
    </xdr:from>
    <xdr:to>
      <xdr:col>33</xdr:col>
      <xdr:colOff>298601</xdr:colOff>
      <xdr:row>44</xdr:row>
      <xdr:rowOff>116236</xdr:rowOff>
    </xdr:to>
    <xdr:graphicFrame macro="">
      <xdr:nvGraphicFramePr>
        <xdr:cNvPr id="3" name="Chart 2">
          <a:extLst>
            <a:ext uri="{FF2B5EF4-FFF2-40B4-BE49-F238E27FC236}">
              <a16:creationId xmlns:a16="http://schemas.microsoft.com/office/drawing/2014/main" id="{DC12F38F-64AE-4713-AAE1-23A951B479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38746</xdr:colOff>
      <xdr:row>2</xdr:row>
      <xdr:rowOff>103061</xdr:rowOff>
    </xdr:from>
    <xdr:to>
      <xdr:col>33</xdr:col>
      <xdr:colOff>300538</xdr:colOff>
      <xdr:row>19</xdr:row>
      <xdr:rowOff>51659</xdr:rowOff>
    </xdr:to>
    <xdr:graphicFrame macro="">
      <xdr:nvGraphicFramePr>
        <xdr:cNvPr id="4" name="Chart 3">
          <a:extLst>
            <a:ext uri="{FF2B5EF4-FFF2-40B4-BE49-F238E27FC236}">
              <a16:creationId xmlns:a16="http://schemas.microsoft.com/office/drawing/2014/main" id="{4412A14D-8653-4888-AC77-6BE6F90B7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245390</xdr:colOff>
      <xdr:row>24</xdr:row>
      <xdr:rowOff>64577</xdr:rowOff>
    </xdr:from>
    <xdr:to>
      <xdr:col>11</xdr:col>
      <xdr:colOff>464950</xdr:colOff>
      <xdr:row>46</xdr:row>
      <xdr:rowOff>64576</xdr:rowOff>
    </xdr:to>
    <xdr:graphicFrame macro="">
      <xdr:nvGraphicFramePr>
        <xdr:cNvPr id="5" name="Chart 4">
          <a:extLst>
            <a:ext uri="{FF2B5EF4-FFF2-40B4-BE49-F238E27FC236}">
              <a16:creationId xmlns:a16="http://schemas.microsoft.com/office/drawing/2014/main" id="{6B3AA539-7268-4B6C-824F-DDC897EDE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77492</xdr:colOff>
      <xdr:row>8</xdr:row>
      <xdr:rowOff>129152</xdr:rowOff>
    </xdr:from>
    <xdr:to>
      <xdr:col>23</xdr:col>
      <xdr:colOff>477864</xdr:colOff>
      <xdr:row>40</xdr:row>
      <xdr:rowOff>142067</xdr:rowOff>
    </xdr:to>
    <xdr:graphicFrame macro="">
      <xdr:nvGraphicFramePr>
        <xdr:cNvPr id="6" name="Chart 5">
          <a:extLst>
            <a:ext uri="{FF2B5EF4-FFF2-40B4-BE49-F238E27FC236}">
              <a16:creationId xmlns:a16="http://schemas.microsoft.com/office/drawing/2014/main" id="{2C3689FC-D500-46C5-8A88-496800787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36</xdr:col>
      <xdr:colOff>132640</xdr:colOff>
      <xdr:row>1</xdr:row>
      <xdr:rowOff>111846</xdr:rowOff>
    </xdr:from>
    <xdr:to>
      <xdr:col>39</xdr:col>
      <xdr:colOff>140389</xdr:colOff>
      <xdr:row>13</xdr:row>
      <xdr:rowOff>97155</xdr:rowOff>
    </xdr:to>
    <mc:AlternateContent xmlns:mc="http://schemas.openxmlformats.org/markup-compatibility/2006">
      <mc:Choice xmlns:a14="http://schemas.microsoft.com/office/drawing/2010/main" Requires="a14">
        <xdr:graphicFrame macro="">
          <xdr:nvGraphicFramePr>
            <xdr:cNvPr id="7" name="اسم العميل">
              <a:extLst>
                <a:ext uri="{FF2B5EF4-FFF2-40B4-BE49-F238E27FC236}">
                  <a16:creationId xmlns:a16="http://schemas.microsoft.com/office/drawing/2014/main" id="{062ABBA9-C9BD-F15F-C32F-7230B2C63EB2}"/>
                </a:ext>
              </a:extLst>
            </xdr:cNvPr>
            <xdr:cNvGraphicFramePr/>
          </xdr:nvGraphicFramePr>
          <xdr:xfrm>
            <a:off x="0" y="0"/>
            <a:ext cx="0" cy="0"/>
          </xdr:xfrm>
          <a:graphic>
            <a:graphicData uri="http://schemas.microsoft.com/office/drawing/2010/slicer">
              <sle:slicer xmlns:sle="http://schemas.microsoft.com/office/drawing/2010/slicer" name="اسم العميل"/>
            </a:graphicData>
          </a:graphic>
        </xdr:graphicFrame>
      </mc:Choice>
      <mc:Fallback>
        <xdr:sp macro="" textlink="">
          <xdr:nvSpPr>
            <xdr:cNvPr id="0" name=""/>
            <xdr:cNvSpPr>
              <a:spLocks noTextEdit="1"/>
            </xdr:cNvSpPr>
          </xdr:nvSpPr>
          <xdr:spPr>
            <a:xfrm>
              <a:off x="9921551645" y="2926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522293</xdr:colOff>
      <xdr:row>19</xdr:row>
      <xdr:rowOff>178616</xdr:rowOff>
    </xdr:from>
    <xdr:to>
      <xdr:col>38</xdr:col>
      <xdr:colOff>530042</xdr:colOff>
      <xdr:row>34</xdr:row>
      <xdr:rowOff>47688</xdr:rowOff>
    </xdr:to>
    <mc:AlternateContent xmlns:mc="http://schemas.openxmlformats.org/markup-compatibility/2006">
      <mc:Choice xmlns:a14="http://schemas.microsoft.com/office/drawing/2010/main" Requires="a14">
        <xdr:graphicFrame macro="">
          <xdr:nvGraphicFramePr>
            <xdr:cNvPr id="8" name="المنطقة">
              <a:extLst>
                <a:ext uri="{FF2B5EF4-FFF2-40B4-BE49-F238E27FC236}">
                  <a16:creationId xmlns:a16="http://schemas.microsoft.com/office/drawing/2014/main" id="{FF022243-8424-EBB6-754F-A1439826D0D7}"/>
                </a:ext>
              </a:extLst>
            </xdr:cNvPr>
            <xdr:cNvGraphicFramePr/>
          </xdr:nvGraphicFramePr>
          <xdr:xfrm>
            <a:off x="0" y="0"/>
            <a:ext cx="0" cy="0"/>
          </xdr:xfrm>
          <a:graphic>
            <a:graphicData uri="http://schemas.microsoft.com/office/drawing/2010/slicer">
              <sle:slicer xmlns:sle="http://schemas.microsoft.com/office/drawing/2010/slicer" name="المنطقة"/>
            </a:graphicData>
          </a:graphic>
        </xdr:graphicFrame>
      </mc:Choice>
      <mc:Fallback>
        <xdr:sp macro="" textlink="">
          <xdr:nvSpPr>
            <xdr:cNvPr id="0" name=""/>
            <xdr:cNvSpPr>
              <a:spLocks noTextEdit="1"/>
            </xdr:cNvSpPr>
          </xdr:nvSpPr>
          <xdr:spPr>
            <a:xfrm>
              <a:off x="9921769009" y="4040277"/>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365760</xdr:colOff>
      <xdr:row>2</xdr:row>
      <xdr:rowOff>156210</xdr:rowOff>
    </xdr:from>
    <xdr:to>
      <xdr:col>13</xdr:col>
      <xdr:colOff>182880</xdr:colOff>
      <xdr:row>20</xdr:row>
      <xdr:rowOff>175260</xdr:rowOff>
    </xdr:to>
    <xdr:graphicFrame macro="">
      <xdr:nvGraphicFramePr>
        <xdr:cNvPr id="2" name="Chart 1">
          <a:extLst>
            <a:ext uri="{FF2B5EF4-FFF2-40B4-BE49-F238E27FC236}">
              <a16:creationId xmlns:a16="http://schemas.microsoft.com/office/drawing/2014/main" id="{64A52AD1-4E7E-D4FE-1061-EB4F67F80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7620</xdr:colOff>
      <xdr:row>1</xdr:row>
      <xdr:rowOff>114300</xdr:rowOff>
    </xdr:from>
    <xdr:to>
      <xdr:col>11</xdr:col>
      <xdr:colOff>144780</xdr:colOff>
      <xdr:row>22</xdr:row>
      <xdr:rowOff>15240</xdr:rowOff>
    </xdr:to>
    <xdr:graphicFrame macro="">
      <xdr:nvGraphicFramePr>
        <xdr:cNvPr id="2" name="Chart 1">
          <a:extLst>
            <a:ext uri="{FF2B5EF4-FFF2-40B4-BE49-F238E27FC236}">
              <a16:creationId xmlns:a16="http://schemas.microsoft.com/office/drawing/2014/main" id="{5DAED1B0-C1C4-CACB-D4C8-55D70DCA2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556260</xdr:colOff>
      <xdr:row>4</xdr:row>
      <xdr:rowOff>53340</xdr:rowOff>
    </xdr:from>
    <xdr:to>
      <xdr:col>13</xdr:col>
      <xdr:colOff>403860</xdr:colOff>
      <xdr:row>21</xdr:row>
      <xdr:rowOff>137160</xdr:rowOff>
    </xdr:to>
    <xdr:graphicFrame macro="">
      <xdr:nvGraphicFramePr>
        <xdr:cNvPr id="2" name="Chart 1">
          <a:extLst>
            <a:ext uri="{FF2B5EF4-FFF2-40B4-BE49-F238E27FC236}">
              <a16:creationId xmlns:a16="http://schemas.microsoft.com/office/drawing/2014/main" id="{FFCB0C7F-0761-F3C8-F62E-74A480A87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60960</xdr:colOff>
      <xdr:row>3</xdr:row>
      <xdr:rowOff>15240</xdr:rowOff>
    </xdr:from>
    <xdr:to>
      <xdr:col>13</xdr:col>
      <xdr:colOff>457200</xdr:colOff>
      <xdr:row>21</xdr:row>
      <xdr:rowOff>76200</xdr:rowOff>
    </xdr:to>
    <xdr:graphicFrame macro="">
      <xdr:nvGraphicFramePr>
        <xdr:cNvPr id="2" name="Chart 1">
          <a:extLst>
            <a:ext uri="{FF2B5EF4-FFF2-40B4-BE49-F238E27FC236}">
              <a16:creationId xmlns:a16="http://schemas.microsoft.com/office/drawing/2014/main" id="{8AF7CE31-058C-1A5A-2878-13A5C124FF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998220</xdr:colOff>
      <xdr:row>2</xdr:row>
      <xdr:rowOff>45720</xdr:rowOff>
    </xdr:from>
    <xdr:to>
      <xdr:col>8</xdr:col>
      <xdr:colOff>358140</xdr:colOff>
      <xdr:row>21</xdr:row>
      <xdr:rowOff>167640</xdr:rowOff>
    </xdr:to>
    <xdr:graphicFrame macro="">
      <xdr:nvGraphicFramePr>
        <xdr:cNvPr id="2" name="Chart 1">
          <a:extLst>
            <a:ext uri="{FF2B5EF4-FFF2-40B4-BE49-F238E27FC236}">
              <a16:creationId xmlns:a16="http://schemas.microsoft.com/office/drawing/2014/main" id="{B8FF5DAF-7002-EBD5-435D-1F38576DC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57870368" backgroundQuery="1" createdVersion="8" refreshedVersion="8" minRefreshableVersion="3" recordCount="0" supportSubquery="1" supportAdvancedDrill="1" xr:uid="{D44C07F6-ADEF-406B-9FC5-1AEAE8083F01}">
  <cacheSource type="external" connectionId="1"/>
  <cacheFields count="5">
    <cacheField name="[الرئيسى].[التاريخ].[التاريخ]" caption="التاريخ" numFmtId="0" hierarchy="6" level="1">
      <sharedItems containsSemiMixedTypes="0" containsNonDate="0" containsDate="1" containsString="0" minDate="2021-05-14T00:00:00" maxDate="2021-05-15T00:00:00" count="1">
        <d v="2021-05-14T00:00:00"/>
      </sharedItems>
    </cacheField>
    <cacheField name="[الرئيسى].[التاريخ (Month)].[التاريخ (Month)]" caption="التاريخ (Month)" numFmtId="0" hierarchy="8" level="1">
      <sharedItems count="5">
        <s v="Mar"/>
        <s v="Jun"/>
        <s v="Aug"/>
        <s v="Sep"/>
        <s v="Nov"/>
      </sharedItems>
    </cacheField>
    <cacheField name="[Measures].[Sum of الصافي]" caption="Sum of الصافي" numFmtId="0" hierarchy="23" level="32767"/>
    <cacheField name="[الرئيسى].[اسم العميل].[اسم العميل]" caption="اسم العميل" numFmtId="0" level="1">
      <sharedItems containsSemiMixedTypes="0" containsNonDate="0" containsString="0"/>
    </cacheField>
    <cacheField name="[الرئيسى].[المنطقة].[المنطقة]" caption="المنطقة" numFmtId="0" hierarchy="5"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3"/>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4"/>
      </fieldsUsage>
    </cacheHierarchy>
    <cacheHierarchy uniqueName="[الرئيسى].[التاريخ]" caption="التاريخ" attribute="1" time="1" defaultMemberUniqueName="[الرئيسى].[التاريخ].[All]" allUniqueName="[الرئيسى].[التاريخ].[All]" dimensionUniqueName="[الرئيسى]" displayFolder="" count="2" memberValueDatatype="7" unbalanced="0">
      <fieldsUsage count="2">
        <fieldUsage x="-1"/>
        <fieldUsage x="0"/>
      </fieldsUsage>
    </cacheHierarchy>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2" memberValueDatatype="130" unbalanced="0">
      <fieldsUsage count="2">
        <fieldUsage x="-1"/>
        <fieldUsage x="1"/>
      </fieldsUsage>
    </cacheHierarchy>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58564815" backgroundQuery="1" createdVersion="8" refreshedVersion="8" minRefreshableVersion="3" recordCount="0" supportSubquery="1" supportAdvancedDrill="1" xr:uid="{ADBF5739-BAF2-41F9-B317-859E4238B785}">
  <cacheSource type="external" connectionId="1"/>
  <cacheFields count="3">
    <cacheField name="[الرئيسى].[اسم العميل].[اسم العميل]" caption="اسم العميل" numFmtId="0" level="1">
      <sharedItems count="4">
        <s v="اسعد شريف"/>
        <s v="ايمن صادق"/>
        <s v="ساره الشافعى"/>
        <s v="اشرف محمود" u="1"/>
      </sharedItems>
    </cacheField>
    <cacheField name="[Measures].[Sum of الصافي]" caption="Sum of الصافي" numFmtId="0" hierarchy="23" level="32767"/>
    <cacheField name="[الرئيسى].[المنطقة].[المنطقة]" caption="المنطقة" numFmtId="0" hierarchy="5"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0"/>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2"/>
      </fieldsUsage>
    </cacheHierarchy>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59027777" backgroundQuery="1" createdVersion="8" refreshedVersion="8" minRefreshableVersion="3" recordCount="0" supportSubquery="1" supportAdvancedDrill="1" xr:uid="{2195473B-54C1-4F56-B869-0D515AEA65FC}">
  <cacheSource type="external" connectionId="1"/>
  <cacheFields count="4">
    <cacheField name="[الرئيسى].[المندوب].[المندوب]" caption="المندوب" numFmtId="0" hierarchy="7" level="1">
      <sharedItems count="3">
        <s v="سيد"/>
        <s v="محمد"/>
        <s v="نور"/>
      </sharedItems>
    </cacheField>
    <cacheField name="[Measures].[Sum of الصافي]" caption="Sum of الصافي" numFmtId="0" hierarchy="23" level="32767"/>
    <cacheField name="[الرئيسى].[اسم العميل].[اسم العميل]" caption="اسم العميل" numFmtId="0" level="1">
      <sharedItems containsSemiMixedTypes="0" containsNonDate="0" containsString="0"/>
    </cacheField>
    <cacheField name="[الرئيسى].[المنطقة].[المنطقة]" caption="المنطقة" numFmtId="0" hierarchy="5"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2"/>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3"/>
      </fieldsUsage>
    </cacheHierarchy>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2" memberValueDatatype="130" unbalanced="0">
      <fieldsUsage count="2">
        <fieldUsage x="-1"/>
        <fieldUsage x="0"/>
      </fieldsUsage>
    </cacheHierarchy>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60069446" backgroundQuery="1" createdVersion="8" refreshedVersion="8" minRefreshableVersion="3" recordCount="0" supportSubquery="1" supportAdvancedDrill="1" xr:uid="{3A0694E0-A2BA-4F3A-A658-DFAE5823CFF9}">
  <cacheSource type="external" connectionId="1"/>
  <cacheFields count="4">
    <cacheField name="[Measures].[Sum of الصافي]" caption="Sum of الصافي" numFmtId="0" hierarchy="23" level="32767"/>
    <cacheField name="[مختصر].[نوع العميل].[نوع العميل]" caption="نوع العميل" numFmtId="0" hierarchy="16" level="1">
      <sharedItems count="2">
        <s v="عميل عادى"/>
        <s v="عميل قوى"/>
      </sharedItems>
    </cacheField>
    <cacheField name="[الرئيسى].[اسم العميل].[اسم العميل]" caption="اسم العميل" numFmtId="0" level="1">
      <sharedItems containsSemiMixedTypes="0" containsNonDate="0" containsString="0"/>
    </cacheField>
    <cacheField name="[الرئيسى].[المنطقة].[المنطقة]" caption="المنطقة" numFmtId="0" hierarchy="5"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2"/>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3"/>
      </fieldsUsage>
    </cacheHierarchy>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2" memberValueDatatype="130" unbalanced="0">
      <fieldsUsage count="2">
        <fieldUsage x="-1"/>
        <fieldUsage x="1"/>
      </fieldsUsage>
    </cacheHierarchy>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oneField="1" hidden="1">
      <fieldsUsage count="1">
        <fieldUsage x="0"/>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60185185" backgroundQuery="1" createdVersion="8" refreshedVersion="8" minRefreshableVersion="3" recordCount="0" supportSubquery="1" supportAdvancedDrill="1" xr:uid="{32511DD1-B9E3-406F-AE69-6C134C4DE5E1}">
  <cacheSource type="external" connectionId="1"/>
  <cacheFields count="2">
    <cacheField name="[الرئيسى].[اسم العميل].[اسم العميل]" caption="اسم العميل" numFmtId="0" level="1">
      <sharedItems containsSemiMixedTypes="0" containsNonDate="0" containsString="0"/>
    </cacheField>
    <cacheField name="[الرئيسى].[المنطقة].[المنطقة]" caption="المنطقة" numFmtId="0" hierarchy="5"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0"/>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1"/>
      </fieldsUsage>
    </cacheHierarchy>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hidden="1">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6959606484" backgroundQuery="1" createdVersion="8" refreshedVersion="8" minRefreshableVersion="3" recordCount="0" supportSubquery="1" supportAdvancedDrill="1" xr:uid="{EC9E7CB4-2233-4F04-AFFB-702563EDC917}">
  <cacheSource type="external" connectionId="1"/>
  <cacheFields count="3">
    <cacheField name="[الرئيسى].[المنطقة].[المنطقة]" caption="المنطقة" numFmtId="0" hierarchy="5" level="1">
      <sharedItems count="7">
        <s v="البحيره"/>
        <s v="الجيزه"/>
        <s v="الشرقيه"/>
        <s v="المنصورة"/>
        <s v="القاهرة" u="1"/>
        <s v="المنيا" u="1"/>
        <s v="اسوان" u="1"/>
      </sharedItems>
    </cacheField>
    <cacheField name="[Measures].[Sum of الصافي]" caption="Sum of الصافي" numFmtId="0" hierarchy="23" level="32767"/>
    <cacheField name="[الرئيسى].[اسم العميل].[اسم العميل]" caption="اسم العميل" numFmtId="0" level="1">
      <sharedItems containsSemiMixedTypes="0" containsNonDate="0" containsString="0"/>
    </cacheField>
  </cacheFields>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fieldsUsage count="2">
        <fieldUsage x="-1"/>
        <fieldUsage x="2"/>
      </fieldsUsage>
    </cacheHierarchy>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fieldsUsage count="2">
        <fieldUsage x="-1"/>
        <fieldUsage x="0"/>
      </fieldsUsage>
    </cacheHierarchy>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4">
    <dimension measure="1" name="Measures" uniqueName="[Measures]" caption="Measures"/>
    <dimension name="الرئيسى" uniqueName="[الرئيسى]" caption="الرئيسى"/>
    <dimension name="تحليل" uniqueName="[تحليل]" caption="تحليل"/>
    <dimension name="مختصر" uniqueName="[مختصر]" caption="مختصر"/>
  </dimensions>
  <measureGroups count="3">
    <measureGroup name="الرئيسى" caption="الرئيسى"/>
    <measureGroup name="تحليل" caption="تحليل"/>
    <measureGroup name="مختصر" caption="مختصر"/>
  </measureGroups>
  <maps count="4">
    <map measureGroup="0" dimension="1"/>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5531.103572106484" backgroundQuery="1" createdVersion="3" refreshedVersion="8" minRefreshableVersion="3" recordCount="0" supportSubquery="1" supportAdvancedDrill="1" xr:uid="{FF310B8D-F491-46F7-AA9E-57E1C18F4A77}">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الرئيسى].[اسم العميل]" caption="اسم العميل" attribute="1" defaultMemberUniqueName="[الرئيسى].[اسم العميل].[All]" allUniqueName="[الرئيسى].[اسم العميل].[All]" dimensionUniqueName="[الرئيسى]" displayFolder="" count="2" memberValueDatatype="130" unbalanced="0"/>
    <cacheHierarchy uniqueName="[الرئيسى].[البيان]" caption="البيان" attribute="1" defaultMemberUniqueName="[الرئيسى].[البيان].[All]" allUniqueName="[الرئيسى].[البيان].[All]" dimensionUniqueName="[الرئيسى]" displayFolder="" count="0" memberValueDatatype="130" unbalanced="0"/>
    <cacheHierarchy uniqueName="[الرئيسى].[القيمه]" caption="القيمه" attribute="1" defaultMemberUniqueName="[الرئيسى].[القيمه].[All]" allUniqueName="[الرئيسى].[القيمه].[All]" dimensionUniqueName="[الرئيسى]" displayFolder="" count="0" memberValueDatatype="20" unbalanced="0"/>
    <cacheHierarchy uniqueName="[الرئيسى].[الضريبه]" caption="الضريبه" attribute="1" defaultMemberUniqueName="[الرئيسى].[الضريبه].[All]" allUniqueName="[الرئيسى].[الضريبه].[All]" dimensionUniqueName="[الرئيسى]" displayFolder="" count="0" memberValueDatatype="5" unbalanced="0"/>
    <cacheHierarchy uniqueName="[الرئيسى].[الصافي]" caption="الصافي" attribute="1" defaultMemberUniqueName="[الرئيسى].[الصافي].[All]" allUniqueName="[الرئيسى].[الصافي].[All]" dimensionUniqueName="[الرئيسى]" displayFolder="" count="0" memberValueDatatype="20" unbalanced="0"/>
    <cacheHierarchy uniqueName="[الرئيسى].[المنطقة]" caption="المنطقة" attribute="1" defaultMemberUniqueName="[الرئيسى].[المنطقة].[All]" allUniqueName="[الرئيسى].[المنطقة].[All]" dimensionUniqueName="[الرئيسى]" displayFolder="" count="2" memberValueDatatype="130" unbalanced="0"/>
    <cacheHierarchy uniqueName="[الرئيسى].[التاريخ]" caption="التاريخ" attribute="1" time="1" defaultMemberUniqueName="[الرئيسى].[التاريخ].[All]" allUniqueName="[الرئيسى].[التاريخ].[All]" dimensionUniqueName="[الرئيسى]" displayFolder="" count="0" memberValueDatatype="7" unbalanced="0"/>
    <cacheHierarchy uniqueName="[الرئيسى].[المندوب]" caption="المندوب" attribute="1" defaultMemberUniqueName="[الرئيسى].[المندوب].[All]" allUniqueName="[الرئيسى].[المندوب].[All]" dimensionUniqueName="[الرئيسى]" displayFolder="" count="0" memberValueDatatype="130" unbalanced="0"/>
    <cacheHierarchy uniqueName="[الرئيسى].[التاريخ (Month)]" caption="التاريخ (Month)" attribute="1" defaultMemberUniqueName="[الرئيسى].[التاريخ (Month)].[All]" allUniqueName="[الرئيسى].[التاريخ (Month)].[All]" dimensionUniqueName="[الرئيسى]" displayFolder="" count="0" memberValueDatatype="130" unbalanced="0"/>
    <cacheHierarchy uniqueName="[تحليل].[اسم العميل]" caption="اسم العميل" attribute="1" defaultMemberUniqueName="[تحليل].[اسم العميل].[All]" allUniqueName="[تحليل].[اسم العميل].[All]" dimensionUniqueName="[تحليل]" displayFolder="" count="0" memberValueDatatype="130" unbalanced="0"/>
    <cacheHierarchy uniqueName="[تحليل].[المنطقة]" caption="المنطقة" attribute="1" defaultMemberUniqueName="[تحليل].[المنطقة].[All]" allUniqueName="[تحليل].[المنطقة].[All]" dimensionUniqueName="[تحليل]" displayFolder="" count="0" memberValueDatatype="130" unbalanced="0"/>
    <cacheHierarchy uniqueName="[تحليل].[القيمة]" caption="القيمة" attribute="1" defaultMemberUniqueName="[تحليل].[القيمة].[All]" allUniqueName="[تحليل].[القيمة].[All]" dimensionUniqueName="[تحليل]" displayFolder="" count="0" memberValueDatatype="20" unbalanced="0"/>
    <cacheHierarchy uniqueName="[تحليل].[نوع العميل]" caption="نوع العميل" attribute="1" defaultMemberUniqueName="[تحليل].[نوع العميل].[All]" allUniqueName="[تحليل].[نوع العميل].[All]" dimensionUniqueName="[تحليل]" displayFolder="" count="0" memberValueDatatype="130" unbalanced="0"/>
    <cacheHierarchy uniqueName="[مختصر].[اسم العميل]" caption="اسم العميل" attribute="1" defaultMemberUniqueName="[مختصر].[اسم العميل].[All]" allUniqueName="[مختصر].[اسم العميل].[All]" dimensionUniqueName="[مختصر]" displayFolder="" count="0" memberValueDatatype="130" unbalanced="0"/>
    <cacheHierarchy uniqueName="[مختصر].[صافي المبيعات]" caption="صافي المبيعات" attribute="1" defaultMemberUniqueName="[مختصر].[صافي المبيعات].[All]" allUniqueName="[مختصر].[صافي المبيعات].[All]" dimensionUniqueName="[مختصر]" displayFolder="" count="0" memberValueDatatype="20" unbalanced="0"/>
    <cacheHierarchy uniqueName="[مختصر].[المنطقة]" caption="المنطقة" attribute="1" defaultMemberUniqueName="[مختصر].[المنطقة].[All]" allUniqueName="[مختصر].[المنطقة].[All]" dimensionUniqueName="[مختصر]" displayFolder="" count="0" memberValueDatatype="130" unbalanced="0"/>
    <cacheHierarchy uniqueName="[مختصر].[نوع العميل]" caption="نوع العميل" attribute="1" defaultMemberUniqueName="[مختصر].[نوع العميل].[All]" allUniqueName="[مختصر].[نوع العميل].[All]" dimensionUniqueName="[مختصر]" displayFolder="" count="0" memberValueDatatype="130" unbalanced="0"/>
    <cacheHierarchy uniqueName="[مختصر].[نسبة المبيعات]" caption="نسبة المبيعات" attribute="1" defaultMemberUniqueName="[مختصر].[نسبة المبيعات].[All]" allUniqueName="[مختصر].[نسبة المبيعات].[All]" dimensionUniqueName="[مختصر]" displayFolder="" count="0" memberValueDatatype="5" unbalanced="0"/>
    <cacheHierarchy uniqueName="[الرئيسى].[التاريخ (Month Index)]" caption="التاريخ (Month Index)" attribute="1" defaultMemberUniqueName="[الرئيسى].[التاريخ (Month Index)].[All]" allUniqueName="[الرئيسى].[التاريخ (Month Index)].[All]" dimensionUniqueName="[الرئيسى]" displayFolder="" count="0" memberValueDatatype="20" unbalanced="0" hidden="1"/>
    <cacheHierarchy uniqueName="[Measures].[__XL_Count تحليل]" caption="__XL_Count تحليل" measure="1" displayFolder="" measureGroup="تحليل" count="0" hidden="1"/>
    <cacheHierarchy uniqueName="[Measures].[__XL_Count الرئيسى]" caption="__XL_Count الرئيسى" measure="1" displayFolder="" measureGroup="الرئيسى" count="0" hidden="1"/>
    <cacheHierarchy uniqueName="[Measures].[__XL_Count مختصر]" caption="__XL_Count مختصر" measure="1" displayFolder="" measureGroup="مختصر" count="0" hidden="1"/>
    <cacheHierarchy uniqueName="[Measures].[__No measures defined]" caption="__No measures defined" measure="1" displayFolder="" count="0" hidden="1"/>
    <cacheHierarchy uniqueName="[Measures].[Sum of الصافي]" caption="Sum of الصافي" measure="1" displayFolder="" measureGroup="الرئيسى"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5323241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06D1CA-8CC0-4C07-8B77-4D018E4C7B19}" name="المبيعات بالعملاء" cacheId="5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الصافي"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multipleItemSelectionAllowed="1" dragToData="1"/>
    <pivotHierarchy dragToData="1"/>
    <pivotHierarchy dragToData="1"/>
    <pivotHierarchy dragToData="1"/>
    <pivotHierarchy dragToData="1"/>
    <pivotHierarchy multipleItemSelectionAllowed="1" dragToData="1">
      <members count="6" level="1">
        <member name="[الرئيسى].[المنطقة].&amp;[اسوان]"/>
        <member name="[الرئيسى].[المنطقة].&amp;[البحيره]"/>
        <member name="[الرئيسى].[المنطقة].&amp;[الجيزه]"/>
        <member name="[الرئيسى].[المنطقة].&amp;[الشرقيه]"/>
        <member name="[الرئيسى].[المنطقة].&amp;[المنصورة]"/>
        <member name="[الرئيسى].[المنطقة].&amp;[المن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rst.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18C0E9-0075-42E3-86DC-B4FDA88DF297}" name="مختصر" cacheId="5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P22" firstHeaderRow="1" firstDataRow="1" firstDataCol="0"/>
  <pivotFields count="2">
    <pivotField allDrilled="1" subtotalTop="0" showAll="0" dataSourceSort="1" defaultSubtotal="0" defaultAttributeDrillState="1"/>
    <pivotField allDrilled="1" subtotalTop="0" showAll="0" dataSourceSort="1" defaultSubtotal="0" defaultAttributeDrillState="1"/>
  </pivotFields>
  <pivotHierarchies count="24">
    <pivotHierarchy multipleItemSelectionAllowed="1" dragToData="1">
      <members count="4" level="1">
        <member name="[الرئيسى].[اسم العميل].&amp;[اسعد شريف]"/>
        <member name="[الرئيسى].[اسم العميل].&amp;[اشرف محمود]"/>
        <member name="[الرئيسى].[اسم العميل].&amp;[ايمن صادق]"/>
        <member name="[الرئيسى].[اسم العميل].&amp;[ساره الشافعى]"/>
      </members>
    </pivotHierarchy>
    <pivotHierarchy dragToData="1"/>
    <pivotHierarchy dragToData="1"/>
    <pivotHierarchy dragToData="1"/>
    <pivotHierarchy dragToData="1"/>
    <pivotHierarchy multipleItemSelectionAllowed="1" dragToData="1">
      <members count="6" level="1">
        <member name="[الرئيسى].[المنطقة].&amp;[اسوان]"/>
        <member name="[الرئيسى].[المنطقة].&amp;[البحيره]"/>
        <member name="[الرئيسى].[المنطقة].&amp;[الجيزه]"/>
        <member name="[الرئيسى].[المنطقة].&amp;[الشرقيه]"/>
        <member name="[الرئيسى].[المنطقة].&amp;[المنصورة]"/>
        <member name="[الرئيسى].[المنطقة].&amp;[المن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rst.xlsx!مختصر">
        <x15:activeTabTopLevelEntity name="[مختصر]"/>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65910F-283C-4DBB-BD2A-5D5F8F1FE8AB}" name="رئيسى" cacheId="5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7" firstHeaderRow="1"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الصافي" fld="0"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multipleItemSelectionAllowed="1" dragToData="1">
      <members count="4" level="1">
        <member name="[الرئيسى].[اسم العميل].&amp;[اسعد شريف]"/>
        <member name="[الرئيسى].[اسم العميل].&amp;[اشرف محمود]"/>
        <member name="[الرئيسى].[اسم العميل].&amp;[ايمن صادق]"/>
        <member name="[الرئيسى].[اسم العميل].&amp;[ساره الشافعى]"/>
      </members>
    </pivotHierarchy>
    <pivotHierarchy dragToData="1"/>
    <pivotHierarchy dragToData="1"/>
    <pivotHierarchy dragToData="1"/>
    <pivotHierarchy dragToData="1"/>
    <pivotHierarchy multipleItemSelectionAllowed="1" dragToData="1">
      <members count="6" level="1">
        <member name="[الرئيسى].[المنطقة].&amp;[اسوان]"/>
        <member name="[الرئيسى].[المنطقة].&amp;[البحيره]"/>
        <member name="[الرئيسى].[المنطقة].&amp;[الجيزه]"/>
        <member name="[الرئيسى].[المنطقة].&amp;[الشرقيه]"/>
        <member name="[الرئيسى].[المنطقة].&amp;[المنصورة]"/>
        <member name="[الرئيسى].[المنطقة].&amp;[المن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الرئيسى]"/>
        <x15:activeTabTopLevelEntity name="[مختصر]"/>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626AC3-F58D-483D-8AC1-4D3EBCF055E2}" name="المبيعات بالمنطقة" cacheId="5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3">
    <pivotField axis="axisRow" allDrilled="1" subtotalTop="0" showAll="0" dataSourceSort="1" defaultSubtotal="0" defaultAttributeDrillState="1">
      <items count="7">
        <item s="1" x="0"/>
        <item s="1" x="1"/>
        <item s="1" x="2"/>
        <item s="1" x="3"/>
        <item x="4"/>
        <item s="1" x="5"/>
        <item s="1" x="6"/>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الصافي" fld="1"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6"/>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0" count="1" selected="0">
            <x v="6"/>
          </reference>
        </references>
      </pivotArea>
    </chartFormat>
    <chartFormat chart="4" format="18">
      <pivotArea type="data" outline="0" fieldPosition="0">
        <references count="2">
          <reference field="4294967294" count="1" selected="0">
            <x v="0"/>
          </reference>
          <reference field="0" count="1" selected="0">
            <x v="0"/>
          </reference>
        </references>
      </pivotArea>
    </chartFormat>
    <chartFormat chart="4" format="19">
      <pivotArea type="data" outline="0" fieldPosition="0">
        <references count="2">
          <reference field="4294967294" count="1" selected="0">
            <x v="0"/>
          </reference>
          <reference field="0" count="1" selected="0">
            <x v="1"/>
          </reference>
        </references>
      </pivotArea>
    </chartFormat>
    <chartFormat chart="4" format="20">
      <pivotArea type="data" outline="0" fieldPosition="0">
        <references count="2">
          <reference field="4294967294" count="1" selected="0">
            <x v="0"/>
          </reference>
          <reference field="0" count="1" selected="0">
            <x v="2"/>
          </reference>
        </references>
      </pivotArea>
    </chartFormat>
    <chartFormat chart="4" format="21">
      <pivotArea type="data" outline="0" fieldPosition="0">
        <references count="2">
          <reference field="4294967294" count="1" selected="0">
            <x v="0"/>
          </reference>
          <reference field="0" count="1" selected="0">
            <x v="4"/>
          </reference>
        </references>
      </pivotArea>
    </chartFormat>
    <chartFormat chart="4" format="22">
      <pivotArea type="data" outline="0" fieldPosition="0">
        <references count="2">
          <reference field="4294967294" count="1" selected="0">
            <x v="0"/>
          </reference>
          <reference field="0" count="1" selected="0">
            <x v="3"/>
          </reference>
        </references>
      </pivotArea>
    </chartFormat>
    <chartFormat chart="4" format="23">
      <pivotArea type="data" outline="0" fieldPosition="0">
        <references count="2">
          <reference field="4294967294" count="1" selected="0">
            <x v="0"/>
          </reference>
          <reference field="0" count="1" selected="0">
            <x v="5"/>
          </reference>
        </references>
      </pivotArea>
    </chartFormat>
  </chartFormats>
  <pivotHierarchies count="24">
    <pivotHierarchy multipleItemSelectionAllowed="1" dragToData="1">
      <members count="4" level="1">
        <member name="[الرئيسى].[اسم العميل].&amp;[اسعد شريف]"/>
        <member name="[الرئيسى].[اسم العميل].&amp;[اشرف محمود]"/>
        <member name="[الرئيسى].[اسم العميل].&amp;[ايمن صادق]"/>
        <member name="[الرئيسى].[اسم العميل].&amp;[ساره الشافعى]"/>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rst.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E19A2F-2B77-4C4A-A772-734F6D42B95E}" name="المبيعات بالمندوب " cacheId="5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B8"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الصافي"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4">
    <pivotHierarchy multipleItemSelectionAllowed="1" dragToData="1">
      <members count="4" level="1">
        <member name="[الرئيسى].[اسم العميل].&amp;[اسعد شريف]"/>
        <member name="[الرئيسى].[اسم العميل].&amp;[اشرف محمود]"/>
        <member name="[الرئيسى].[اسم العميل].&amp;[ايمن صادق]"/>
        <member name="[الرئيسى].[اسم العميل].&amp;[ساره الشافعى]"/>
      </members>
    </pivotHierarchy>
    <pivotHierarchy dragToData="1"/>
    <pivotHierarchy dragToData="1"/>
    <pivotHierarchy dragToData="1"/>
    <pivotHierarchy dragToData="1"/>
    <pivotHierarchy multipleItemSelectionAllowed="1" dragToData="1">
      <members count="6" level="1">
        <member name="[الرئيسى].[المنطقة].&amp;[اسوان]"/>
        <member name="[الرئيسى].[المنطقة].&amp;[البحيره]"/>
        <member name="[الرئيسى].[المنطقة].&amp;[الجيزه]"/>
        <member name="[الرئيسى].[المنطقة].&amp;[الشرقيه]"/>
        <member name="[الرئيسى].[المنطقة].&amp;[المنصورة]"/>
        <member name="[الرئيسى].[المنطقة].&amp;[المن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rst.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55FAC9-D63D-45BE-9230-1D7B3D5A1D1F}" name="تريند المبيعات " cacheId="5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5">
    <pivotField axis="axisRow" allDrilled="1" subtotalTop="0" showAll="0" dataSourceSort="1" defaultSubtotal="0" defaultAttributeDrillState="1">
      <items count="1">
        <item x="0"/>
      </items>
    </pivotField>
    <pivotField axis="axisRow" allDrilled="1" subtotalTop="0" showAll="0" dataSourceSort="1" defaultSubtotal="0">
      <items count="5">
        <item x="0" e="0"/>
        <item x="1" e="0"/>
        <item x="2" e="0"/>
        <item x="3" e="0"/>
        <item x="4" e="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6">
    <i>
      <x/>
    </i>
    <i>
      <x v="1"/>
    </i>
    <i>
      <x v="2"/>
    </i>
    <i>
      <x v="3"/>
    </i>
    <i>
      <x v="4"/>
    </i>
    <i t="grand">
      <x/>
    </i>
  </rowItems>
  <colItems count="1">
    <i/>
  </colItems>
  <dataFields count="1">
    <dataField name="Sum of الصافي" fld="2"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4">
    <pivotHierarchy multipleItemSelectionAllowed="1" dragToData="1">
      <members count="4" level="1">
        <member name="[الرئيسى].[اسم العميل].&amp;[اسعد شريف]"/>
        <member name="[الرئيسى].[اسم العميل].&amp;[اشرف محمود]"/>
        <member name="[الرئيسى].[اسم العميل].&amp;[ايمن صادق]"/>
        <member name="[الرئيسى].[اسم العميل].&amp;[ساره الشافعى]"/>
      </members>
    </pivotHierarchy>
    <pivotHierarchy dragToData="1"/>
    <pivotHierarchy dragToData="1"/>
    <pivotHierarchy dragToData="1"/>
    <pivotHierarchy dragToData="1"/>
    <pivotHierarchy multipleItemSelectionAllowed="1" dragToData="1">
      <members count="6" level="1">
        <member name="[الرئيسى].[المنطقة].&amp;[اسوان]"/>
        <member name="[الرئيسى].[المنطقة].&amp;[البحيره]"/>
        <member name="[الرئيسى].[المنطقة].&amp;[الجيزه]"/>
        <member name="[الرئيسى].[المنطقة].&amp;[الشرقيه]"/>
        <member name="[الرئيسى].[المنطقة].&amp;[المنصورة]"/>
        <member name="[الرئيسى].[المنطقة].&amp;[المنيا]"/>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8"/>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rst.xlsx!الرئيسى">
        <x15:activeTabTopLevelEntity name="[الرئيسى]"/>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م_العميل" xr10:uid="{B9FDDD1F-B180-4C6E-B7DE-480890E4F18B}" sourceName="[الرئيسى].[اسم العميل]">
  <pivotTables>
    <pivotTable tabId="13" name="تريند المبيعات "/>
    <pivotTable tabId="9" name="المبيعات بالعملاء"/>
    <pivotTable tabId="12" name="المبيعات بالمندوب "/>
    <pivotTable tabId="11" name="المبيعات بالمنطقة"/>
    <pivotTable tabId="10" name="رئيسى"/>
    <pivotTable tabId="10" name="مختصر"/>
  </pivotTables>
  <data>
    <olap pivotCacheId="532324188">
      <levels count="2">
        <level uniqueName="[الرئيسى].[اسم العميل].[(All)]" sourceCaption="(All)" count="0"/>
        <level uniqueName="[الرئيسى].[اسم العميل].[اسم العميل]" sourceCaption="اسم العميل" count="10">
          <ranges>
            <range startItem="0">
              <i n="[الرئيسى].[اسم العميل].&amp;[اسعد شريف]" c="اسعد شريف"/>
              <i n="[الرئيسى].[اسم العميل].&amp;[ايمن صادق]" c="ايمن صادق"/>
              <i n="[الرئيسى].[اسم العميل].&amp;[ساره الشافعى]" c="ساره الشافعى"/>
              <i n="[الرئيسى].[اسم العميل].&amp;[سيد عفيفي]" c="سيد عفيفي"/>
              <i n="[الرئيسى].[اسم العميل].&amp;[مرتضي المسيرى]" c="مرتضي المسيرى"/>
              <i n="[الرئيسى].[اسم العميل].&amp;[مريم محمود]" c="مريم محمود"/>
              <i n="[الرئيسى].[اسم العميل].&amp;[مصطفي يسرى]" c="مصطفي يسرى"/>
              <i n="[الرئيسى].[اسم العميل].&amp;[هشام فتحى]" c="هشام فتحى"/>
              <i n="[الرئيسى].[اسم العميل].&amp;[احمد ممدوح]" c="احمد ممدوح" nd="1"/>
              <i n="[الرئيسى].[اسم العميل].&amp;[اشرف محمود]" c="اشرف محمود" nd="1"/>
            </range>
          </ranges>
        </level>
      </levels>
      <selections count="4">
        <selection n="[الرئيسى].[اسم العميل].&amp;[اسعد شريف]"/>
        <selection n="[الرئيسى].[اسم العميل].&amp;[اشرف محمود]"/>
        <selection n="[الرئيسى].[اسم العميل].&amp;[ايمن صادق]"/>
        <selection n="[الرئيسى].[اسم العميل].&amp;[ساره الشافعى]"/>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منطقة" xr10:uid="{62822E92-A539-4374-A41F-CE2C5B55F068}" sourceName="[الرئيسى].[المنطقة]">
  <pivotTables>
    <pivotTable tabId="13" name="تريند المبيعات "/>
    <pivotTable tabId="9" name="المبيعات بالعملاء"/>
    <pivotTable tabId="12" name="المبيعات بالمندوب "/>
    <pivotTable tabId="11" name="المبيعات بالمنطقة"/>
    <pivotTable tabId="10" name="رئيسى"/>
    <pivotTable tabId="10" name="مختصر"/>
  </pivotTables>
  <data>
    <olap pivotCacheId="532324188">
      <levels count="2">
        <level uniqueName="[الرئيسى].[المنطقة].[(All)]" sourceCaption="(All)" count="0"/>
        <level uniqueName="[الرئيسى].[المنطقة].[المنطقة]" sourceCaption="المنطقة" count="7">
          <ranges>
            <range startItem="0">
              <i n="[الرئيسى].[المنطقة].&amp;[البحيره]" c="البحيره"/>
              <i n="[الرئيسى].[المنطقة].&amp;[الجيزه]" c="الجيزه"/>
              <i n="[الرئيسى].[المنطقة].&amp;[الشرقيه]" c="الشرقيه"/>
              <i n="[الرئيسى].[المنطقة].&amp;[القاهرة]" c="القاهرة"/>
              <i n="[الرئيسى].[المنطقة].&amp;[المنصورة]" c="المنصورة"/>
              <i n="[الرئيسى].[المنطقة].&amp;[اسوان]" c="اسوان" nd="1"/>
              <i n="[الرئيسى].[المنطقة].&amp;[المنيا]" c="المنيا" nd="1"/>
            </range>
          </ranges>
        </level>
      </levels>
      <selections count="6">
        <selection n="[الرئيسى].[المنطقة].&amp;[اسوان]"/>
        <selection n="[الرئيسى].[المنطقة].&amp;[البحيره]"/>
        <selection n="[الرئيسى].[المنطقة].&amp;[الجيزه]"/>
        <selection n="[الرئيسى].[المنطقة].&amp;[الشرقيه]"/>
        <selection n="[الرئيسى].[المنطقة].&amp;[المنصورة]"/>
        <selection n="[الرئيسى].[المنطقة].&amp;[المنيا]"/>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سم العميل" xr10:uid="{B0DAC449-F984-4699-ADD4-29E8C1141769}" cache="Slicer_اسم_العميل" caption="اسم العميل" level="1" rowHeight="247650"/>
  <slicer name="المنطقة" xr10:uid="{70D190D5-B720-4C80-8DCC-20836259717A}" cache="Slicer_المنطقة" caption="المنطقة"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DE169E-3D76-4FB7-B137-16646DC657AB}" name="الرئيسى" displayName="الرئيسى" ref="E4:L22" totalsRowShown="0" headerRowDxfId="20" headerRowBorderDxfId="19" tableBorderDxfId="18" totalsRowBorderDxfId="17">
  <autoFilter ref="E4:L22" xr:uid="{A1DE169E-3D76-4FB7-B137-16646DC657AB}"/>
  <tableColumns count="8">
    <tableColumn id="1" xr3:uid="{3FA0F104-36D9-4335-B5DB-C2B2B32D0B4C}" name="اسم العميل " dataDxfId="16"/>
    <tableColumn id="2" xr3:uid="{A52B1DD6-EA6D-4606-BB9D-CE8704BC9F64}" name="البيان" dataDxfId="15"/>
    <tableColumn id="3" xr3:uid="{178F37A5-DE2C-4EFD-8C88-84A53A66C381}" name="القيمه" dataDxfId="14"/>
    <tableColumn id="4" xr3:uid="{4E218430-B496-413D-A25D-1BED208599FA}" name="الضريبه" dataDxfId="13">
      <calculatedColumnFormula>الرئيسى[[#This Row],[القيمه]]*0.14</calculatedColumnFormula>
    </tableColumn>
    <tableColumn id="5" xr3:uid="{33967BB6-5D6D-49FB-BAC8-735BFF4A3DCD}" name="الصافي " dataDxfId="12">
      <calculatedColumnFormula>الرئيسى[[#This Row],[القيمه]]-الرئيسى[[#This Row],[الضريبه]]</calculatedColumnFormula>
    </tableColumn>
    <tableColumn id="6" xr3:uid="{AA94E9A0-855F-4654-A818-6CD7D764652E}" name="المنطقة " dataDxfId="11"/>
    <tableColumn id="9" xr3:uid="{27F30623-1FA5-4641-9528-C7692FD86C3A}" name="التاريخ" dataDxfId="10"/>
    <tableColumn id="7" xr3:uid="{A9D303BA-5EA4-425E-8FBD-B2377A4F82B4}" name="المندوب" dataDxfId="9"/>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2633FF-91E8-44F2-A39C-B649F7AD254F}" name="مختصر" displayName="مختصر" ref="O4:S14" totalsRowShown="0" headerRowDxfId="8" headerRowBorderDxfId="7" tableBorderDxfId="6" totalsRowBorderDxfId="5">
  <autoFilter ref="O4:S14" xr:uid="{B12633FF-91E8-44F2-A39C-B649F7AD254F}"/>
  <tableColumns count="5">
    <tableColumn id="1" xr3:uid="{5D94BE2A-9B06-46BA-A98B-98280B907178}" name="اسم العميل" dataDxfId="4"/>
    <tableColumn id="2" xr3:uid="{95B882C1-C745-4610-BB91-5D8C24E0380F}" name="صافي المبيعات" dataDxfId="3">
      <calculatedColumnFormula>SUMIFS(الرئيسى[[الصافي ]],الرئيسى[[اسم العميل ]],O5,الرئيسى[البيان],"فاتوره")+SUMIFS(الرئيسى[[الصافي ]],الرئيسى[[اسم العميل ]],O5,الرئيسى[البيان],"مرتجع")+SUMIFS(الرئيسى[[الصافي ]],الرئيسى[[اسم العميل ]],O5,الرئيسى[البيان],"خصم")</calculatedColumnFormula>
    </tableColumn>
    <tableColumn id="3" xr3:uid="{DE05E58E-E32F-4440-AB40-71012B5F3CA3}" name="المنطقة" dataDxfId="2">
      <calculatedColumnFormula>VLOOKUP(مختصر[[#This Row],[اسم العميل]],'قاعدة البيانات'!D9:$E$18,2,FALSE)</calculatedColumnFormula>
    </tableColumn>
    <tableColumn id="4" xr3:uid="{08EB9654-C584-4D6F-B1A4-43ECBAF22AAE}" name="نوع العميل " dataDxfId="1">
      <calculatedColumnFormula>IF(مختصر[[#This Row],[صافي المبيعات]]&gt;20000,"عميل مهم",IF(P5&gt;7000,"عميل قوى","عميل عادى"))</calculatedColumnFormula>
    </tableColumn>
    <tableColumn id="5" xr3:uid="{C3079EF2-FD56-4EEB-A5E9-334598062B0A}" name="نسبة المبيعات" dataDxfId="0">
      <calculatedColumnFormula>مختصر[[#This Row],[صافي المبيعات]]/SUM(مختصر[صافي المبيعات])</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DAE63-ED86-4D59-A890-F607BED5016A}">
  <dimension ref="E2:S48"/>
  <sheetViews>
    <sheetView rightToLeft="1" workbookViewId="0">
      <selection activeCell="J9" sqref="J9"/>
    </sheetView>
  </sheetViews>
  <sheetFormatPr defaultRowHeight="14.4" x14ac:dyDescent="0.3"/>
  <cols>
    <col min="5" max="5" width="12.109375" bestFit="1" customWidth="1"/>
    <col min="9" max="9" width="13.109375" bestFit="1" customWidth="1"/>
    <col min="11" max="11" width="10.33203125" bestFit="1" customWidth="1"/>
    <col min="15" max="15" width="12.109375" bestFit="1" customWidth="1"/>
    <col min="16" max="16" width="13.109375" bestFit="1" customWidth="1"/>
    <col min="17" max="17" width="7.88671875" bestFit="1" customWidth="1"/>
    <col min="19" max="19" width="10.109375" customWidth="1"/>
    <col min="20" max="20" width="11.44140625" customWidth="1"/>
  </cols>
  <sheetData>
    <row r="2" spans="5:19" ht="25.8" x14ac:dyDescent="0.5">
      <c r="E2" s="18" t="s">
        <v>26</v>
      </c>
      <c r="F2" s="18"/>
      <c r="G2" s="18"/>
      <c r="H2" s="18"/>
      <c r="I2" s="18"/>
      <c r="J2" s="18"/>
      <c r="K2" s="18"/>
      <c r="L2" s="18"/>
    </row>
    <row r="4" spans="5:19" x14ac:dyDescent="0.3">
      <c r="E4" s="6" t="s">
        <v>0</v>
      </c>
      <c r="F4" s="4" t="s">
        <v>5</v>
      </c>
      <c r="G4" s="4" t="s">
        <v>6</v>
      </c>
      <c r="H4" s="4" t="s">
        <v>7</v>
      </c>
      <c r="I4" s="4" t="s">
        <v>8</v>
      </c>
      <c r="J4" s="4" t="s">
        <v>9</v>
      </c>
      <c r="K4" s="10" t="s">
        <v>27</v>
      </c>
      <c r="L4" s="10" t="s">
        <v>10</v>
      </c>
      <c r="O4" s="6" t="s">
        <v>43</v>
      </c>
      <c r="P4" s="4" t="s">
        <v>44</v>
      </c>
      <c r="Q4" s="4" t="s">
        <v>45</v>
      </c>
      <c r="R4" s="4" t="s">
        <v>46</v>
      </c>
      <c r="S4" s="10" t="s">
        <v>47</v>
      </c>
    </row>
    <row r="5" spans="5:19" x14ac:dyDescent="0.3">
      <c r="E5" s="5" t="s">
        <v>11</v>
      </c>
      <c r="F5" s="1" t="s">
        <v>16</v>
      </c>
      <c r="G5" s="1">
        <v>10000</v>
      </c>
      <c r="H5" s="11">
        <f>الرئيسى[[#This Row],[القيمه]]*0.14</f>
        <v>1400.0000000000002</v>
      </c>
      <c r="I5" s="3">
        <f>الرئيسى[[#This Row],[القيمه]]-الرئيسى[[#This Row],[الضريبه]]</f>
        <v>8600</v>
      </c>
      <c r="J5" s="1" t="s">
        <v>19</v>
      </c>
      <c r="K5" s="14">
        <v>44210</v>
      </c>
      <c r="L5" s="9" t="s">
        <v>22</v>
      </c>
      <c r="O5" s="5" t="s">
        <v>11</v>
      </c>
      <c r="P5" s="3">
        <f>SUMIFS(الرئيسى[[الصافي ]],الرئيسى[[اسم العميل ]],O5,الرئيسى[البيان],"فاتوره")+SUMIFS(الرئيسى[[الصافي ]],الرئيسى[[اسم العميل ]],O5,الرئيسى[البيان],"مرتجع")+SUMIFS(الرئيسى[[الصافي ]],الرئيسى[[اسم العميل ]],O5,الرئيسى[البيان],"خصم")</f>
        <v>6880</v>
      </c>
      <c r="Q5" s="1" t="str">
        <f>VLOOKUP(مختصر[[#This Row],[اسم العميل]],'قاعدة البيانات'!D9:$E$18,2,FALSE)</f>
        <v>الجيزه</v>
      </c>
      <c r="R5" s="1" t="str">
        <f>IF(مختصر[[#This Row],[صافي المبيعات]]&gt;20000,"عميل مهم",IF(P5&gt;7000,"عميل قوى","عميل عادى"))</f>
        <v>عميل عادى</v>
      </c>
      <c r="S5" s="23">
        <f>مختصر[[#This Row],[صافي المبيعات]]/SUM(مختصر[صافي المبيعات])</f>
        <v>6.9264069264069264E-2</v>
      </c>
    </row>
    <row r="6" spans="5:19" x14ac:dyDescent="0.3">
      <c r="E6" s="5" t="s">
        <v>12</v>
      </c>
      <c r="F6" s="1" t="s">
        <v>16</v>
      </c>
      <c r="G6" s="1">
        <v>7000</v>
      </c>
      <c r="H6" s="11">
        <f>الرئيسى[[#This Row],[القيمه]]*0.14</f>
        <v>980.00000000000011</v>
      </c>
      <c r="I6" s="3">
        <f>الرئيسى[[#This Row],[القيمه]]-الرئيسى[[#This Row],[الضريبه]]</f>
        <v>6020</v>
      </c>
      <c r="J6" s="1" t="s">
        <v>18</v>
      </c>
      <c r="K6" s="14">
        <v>44241</v>
      </c>
      <c r="L6" s="9" t="s">
        <v>23</v>
      </c>
      <c r="O6" s="5" t="s">
        <v>12</v>
      </c>
      <c r="P6" s="3">
        <f>SUMIFS(الرئيسى[[الصافي ]],الرئيسى[[اسم العميل ]],O6,الرئيسى[البيان],"فاتوره")+SUMIFS(الرئيسى[[الصافي ]],الرئيسى[[اسم العميل ]],O6,الرئيسى[البيان],"مرتجع")+SUMIFS(الرئيسى[[الصافي ]],الرئيسى[[اسم العميل ]],O6,الرئيسى[البيان],"خصم")</f>
        <v>5590</v>
      </c>
      <c r="Q6" s="1" t="str">
        <f>VLOOKUP(مختصر[[#This Row],[اسم العميل]],'قاعدة البيانات'!D10:$E$18,2,FALSE)</f>
        <v>البحيره</v>
      </c>
      <c r="R6" s="1" t="str">
        <f>IF(مختصر[[#This Row],[صافي المبيعات]]&gt;20000,"عميل مهم",IF(P6&gt;7000,"عميل قوى","عميل عادى"))</f>
        <v>عميل عادى</v>
      </c>
      <c r="S6" s="23">
        <f>مختصر[[#This Row],[صافي المبيعات]]/SUM(مختصر[صافي المبيعات])</f>
        <v>5.627705627705628E-2</v>
      </c>
    </row>
    <row r="7" spans="5:19" x14ac:dyDescent="0.3">
      <c r="E7" s="5" t="s">
        <v>32</v>
      </c>
      <c r="F7" s="1" t="s">
        <v>16</v>
      </c>
      <c r="G7" s="1">
        <v>5000</v>
      </c>
      <c r="H7" s="11">
        <f>الرئيسى[[#This Row],[القيمه]]*0.14</f>
        <v>700.00000000000011</v>
      </c>
      <c r="I7" s="3">
        <f>الرئيسى[[#This Row],[القيمه]]-الرئيسى[[#This Row],[الضريبه]]</f>
        <v>4300</v>
      </c>
      <c r="J7" s="1" t="s">
        <v>2</v>
      </c>
      <c r="K7" s="14">
        <v>44269</v>
      </c>
      <c r="L7" s="9" t="s">
        <v>24</v>
      </c>
      <c r="O7" s="5" t="s">
        <v>32</v>
      </c>
      <c r="P7" s="3">
        <f>SUMIFS(الرئيسى[[الصافي ]],الرئيسى[[اسم العميل ]],O7,الرئيسى[البيان],"فاتوره")+SUMIFS(الرئيسى[[الصافي ]],الرئيسى[[اسم العميل ]],O7,الرئيسى[البيان],"مرتجع")+SUMIFS(الرئيسى[[الصافي ]],الرئيسى[[اسم العميل ]],O7,الرئيسى[البيان],"خصم")</f>
        <v>9460</v>
      </c>
      <c r="Q7" s="1" t="str">
        <f>VLOOKUP(مختصر[[#This Row],[اسم العميل]],'قاعدة البيانات'!D11:$E$18,2,FALSE)</f>
        <v>المنصورة</v>
      </c>
      <c r="R7" s="1" t="str">
        <f>IF(مختصر[[#This Row],[صافي المبيعات]]&gt;20000,"عميل مهم",IF(P7&gt;7000,"عميل قوى","عميل عادى"))</f>
        <v>عميل قوى</v>
      </c>
      <c r="S7" s="23">
        <f>مختصر[[#This Row],[صافي المبيعات]]/SUM(مختصر[صافي المبيعات])</f>
        <v>9.5238095238095233E-2</v>
      </c>
    </row>
    <row r="8" spans="5:19" x14ac:dyDescent="0.3">
      <c r="E8" s="5" t="s">
        <v>29</v>
      </c>
      <c r="F8" s="1" t="s">
        <v>16</v>
      </c>
      <c r="G8" s="1">
        <v>15000</v>
      </c>
      <c r="H8" s="11">
        <f>الرئيسى[[#This Row],[القيمه]]*0.14</f>
        <v>2100</v>
      </c>
      <c r="I8" s="3">
        <f>الرئيسى[[#This Row],[القيمه]]-الرئيسى[[#This Row],[الضريبه]]</f>
        <v>12900</v>
      </c>
      <c r="J8" s="1" t="s">
        <v>3</v>
      </c>
      <c r="K8" s="14">
        <v>44300</v>
      </c>
      <c r="L8" s="9" t="s">
        <v>25</v>
      </c>
      <c r="O8" s="5" t="s">
        <v>29</v>
      </c>
      <c r="P8" s="3">
        <f>SUMIFS(الرئيسى[[الصافي ]],الرئيسى[[اسم العميل ]],O8,الرئيسى[البيان],"فاتوره")+SUMIFS(الرئيسى[[الصافي ]],الرئيسى[[اسم العميل ]],O8,الرئيسى[البيان],"مرتجع")+SUMIFS(الرئيسى[[الصافي ]],الرئيسى[[اسم العميل ]],O8,الرئيسى[البيان],"خصم")</f>
        <v>12040</v>
      </c>
      <c r="Q8" s="1" t="str">
        <f>VLOOKUP(مختصر[[#This Row],[اسم العميل]],'قاعدة البيانات'!D12:$E$18,2,FALSE)</f>
        <v>القاهرة</v>
      </c>
      <c r="R8" s="1" t="str">
        <f>IF(مختصر[[#This Row],[صافي المبيعات]]&gt;20000,"عميل مهم",IF(P8&gt;7000,"عميل قوى","عميل عادى"))</f>
        <v>عميل قوى</v>
      </c>
      <c r="S8" s="23">
        <f>مختصر[[#This Row],[صافي المبيعات]]/SUM(مختصر[صافي المبيعات])</f>
        <v>0.12121212121212122</v>
      </c>
    </row>
    <row r="9" spans="5:19" x14ac:dyDescent="0.3">
      <c r="E9" s="5" t="s">
        <v>13</v>
      </c>
      <c r="F9" s="1" t="s">
        <v>16</v>
      </c>
      <c r="G9" s="1">
        <v>20000</v>
      </c>
      <c r="H9" s="11">
        <f>الرئيسى[[#This Row],[القيمه]]*0.14</f>
        <v>2800.0000000000005</v>
      </c>
      <c r="I9" s="3">
        <f>الرئيسى[[#This Row],[القيمه]]-الرئيسى[[#This Row],[الضريبه]]</f>
        <v>17200</v>
      </c>
      <c r="J9" s="1" t="s">
        <v>20</v>
      </c>
      <c r="K9" s="14">
        <v>44330</v>
      </c>
      <c r="L9" s="9" t="s">
        <v>22</v>
      </c>
      <c r="O9" s="5" t="s">
        <v>13</v>
      </c>
      <c r="P9" s="3">
        <f>SUMIFS(الرئيسى[[الصافي ]],الرئيسى[[اسم العميل ]],O9,الرئيسى[البيان],"فاتوره")+SUMIFS(الرئيسى[[الصافي ]],الرئيسى[[اسم العميل ]],O9,الرئيسى[البيان],"مرتجع")+SUMIFS(الرئيسى[[الصافي ]],الرئيسى[[اسم العميل ]],O9,الرئيسى[البيان],"خصم")</f>
        <v>24080</v>
      </c>
      <c r="Q9" s="1" t="str">
        <f>VLOOKUP(مختصر[[#This Row],[اسم العميل]],'قاعدة البيانات'!D13:$E$18,2,FALSE)</f>
        <v>اسوان</v>
      </c>
      <c r="R9" s="1" t="str">
        <f>IF(مختصر[[#This Row],[صافي المبيعات]]&gt;20000,"عميل مهم",IF(P9&gt;7000,"عميل قوى","عميل عادى"))</f>
        <v>عميل مهم</v>
      </c>
      <c r="S9" s="23">
        <f>مختصر[[#This Row],[صافي المبيعات]]/SUM(مختصر[صافي المبيعات])</f>
        <v>0.24242424242424243</v>
      </c>
    </row>
    <row r="10" spans="5:19" x14ac:dyDescent="0.3">
      <c r="E10" s="5" t="s">
        <v>14</v>
      </c>
      <c r="F10" s="1" t="s">
        <v>16</v>
      </c>
      <c r="G10" s="1">
        <v>16000</v>
      </c>
      <c r="H10" s="11">
        <f>الرئيسى[[#This Row],[القيمه]]*0.14</f>
        <v>2240</v>
      </c>
      <c r="I10" s="3">
        <f>الرئيسى[[#This Row],[القيمه]]-الرئيسى[[#This Row],[الضريبه]]</f>
        <v>13760</v>
      </c>
      <c r="J10" s="1" t="s">
        <v>4</v>
      </c>
      <c r="K10" s="14">
        <v>44361</v>
      </c>
      <c r="L10" s="9" t="s">
        <v>23</v>
      </c>
      <c r="O10" s="5" t="s">
        <v>14</v>
      </c>
      <c r="P10" s="3">
        <f>SUMIFS(الرئيسى[[الصافي ]],الرئيسى[[اسم العميل ]],O10,الرئيسى[البيان],"فاتوره")+SUMIFS(الرئيسى[[الصافي ]],الرئيسى[[اسم العميل ]],O10,الرئيسى[البيان],"مرتجع")+SUMIFS(الرئيسى[[الصافي ]],الرئيسى[[اسم العميل ]],O10,الرئيسى[البيان],"خصم")</f>
        <v>13760</v>
      </c>
      <c r="Q10" s="1" t="str">
        <f>VLOOKUP(مختصر[[#This Row],[اسم العميل]],'قاعدة البيانات'!D14:$E$18,2,FALSE)</f>
        <v>المنيا</v>
      </c>
      <c r="R10" s="1" t="str">
        <f>IF(مختصر[[#This Row],[صافي المبيعات]]&gt;20000,"عميل مهم",IF(P10&gt;7000,"عميل قوى","عميل عادى"))</f>
        <v>عميل قوى</v>
      </c>
      <c r="S10" s="23">
        <f>مختصر[[#This Row],[صافي المبيعات]]/SUM(مختصر[صافي المبيعات])</f>
        <v>0.13852813852813853</v>
      </c>
    </row>
    <row r="11" spans="5:19" x14ac:dyDescent="0.3">
      <c r="E11" s="5" t="s">
        <v>31</v>
      </c>
      <c r="F11" s="1" t="s">
        <v>16</v>
      </c>
      <c r="G11" s="1">
        <v>4000</v>
      </c>
      <c r="H11" s="11">
        <f>الرئيسى[[#This Row],[القيمه]]*0.14</f>
        <v>560</v>
      </c>
      <c r="I11" s="3">
        <f>الرئيسى[[#This Row],[القيمه]]-الرئيسى[[#This Row],[الضريبه]]</f>
        <v>3440</v>
      </c>
      <c r="J11" s="1" t="s">
        <v>3</v>
      </c>
      <c r="K11" s="14">
        <v>44391</v>
      </c>
      <c r="L11" s="9" t="s">
        <v>24</v>
      </c>
      <c r="O11" s="5" t="s">
        <v>31</v>
      </c>
      <c r="P11" s="3">
        <f>SUMIFS(الرئيسى[[الصافي ]],الرئيسى[[اسم العميل ]],O11,الرئيسى[البيان],"فاتوره")+SUMIFS(الرئيسى[[الصافي ]],الرئيسى[[اسم العميل ]],O11,الرئيسى[البيان],"مرتجع")+SUMIFS(الرئيسى[[الصافي ]],الرئيسى[[اسم العميل ]],O11,الرئيسى[البيان],"خصم")</f>
        <v>3440</v>
      </c>
      <c r="Q11" s="1" t="str">
        <f>VLOOKUP(مختصر[[#This Row],[اسم العميل]],'قاعدة البيانات'!D15:$E$18,2,FALSE)</f>
        <v>القاهرة</v>
      </c>
      <c r="R11" s="1" t="str">
        <f>IF(مختصر[[#This Row],[صافي المبيعات]]&gt;20000,"عميل مهم",IF(P11&gt;7000,"عميل قوى","عميل عادى"))</f>
        <v>عميل عادى</v>
      </c>
      <c r="S11" s="23">
        <f>مختصر[[#This Row],[صافي المبيعات]]/SUM(مختصر[صافي المبيعات])</f>
        <v>3.4632034632034632E-2</v>
      </c>
    </row>
    <row r="12" spans="5:19" x14ac:dyDescent="0.3">
      <c r="E12" s="5" t="s">
        <v>32</v>
      </c>
      <c r="F12" s="1" t="s">
        <v>16</v>
      </c>
      <c r="G12" s="1">
        <v>2000</v>
      </c>
      <c r="H12" s="11">
        <f>الرئيسى[[#This Row],[القيمه]]*0.14</f>
        <v>280</v>
      </c>
      <c r="I12" s="3">
        <f>الرئيسى[[#This Row],[القيمه]]-الرئيسى[[#This Row],[الضريبه]]</f>
        <v>1720</v>
      </c>
      <c r="J12" s="1" t="s">
        <v>19</v>
      </c>
      <c r="K12" s="14">
        <v>44422</v>
      </c>
      <c r="L12" s="9" t="s">
        <v>25</v>
      </c>
      <c r="O12" s="5" t="s">
        <v>30</v>
      </c>
      <c r="P12" s="3">
        <f>SUMIFS(الرئيسى[[الصافي ]],الرئيسى[[اسم العميل ]],O12,الرئيسى[البيان],"فاتوره")+SUMIFS(الرئيسى[[الصافي ]],الرئيسى[[اسم العميل ]],O12,الرئيسى[البيان],"مرتجع")+SUMIFS(الرئيسى[[الصافي ]],الرئيسى[[اسم العميل ]],O12,الرئيسى[البيان],"خصم")</f>
        <v>2580</v>
      </c>
      <c r="Q12" s="1" t="str">
        <f>VLOOKUP(مختصر[[#This Row],[اسم العميل]],'قاعدة البيانات'!D16:$E$18,2,FALSE)</f>
        <v>البحيره</v>
      </c>
      <c r="R12" s="1" t="str">
        <f>IF(مختصر[[#This Row],[صافي المبيعات]]&gt;20000,"عميل مهم",IF(P12&gt;7000,"عميل قوى","عميل عادى"))</f>
        <v>عميل عادى</v>
      </c>
      <c r="S12" s="23">
        <f>مختصر[[#This Row],[صافي المبيعات]]/SUM(مختصر[صافي المبيعات])</f>
        <v>2.5974025974025976E-2</v>
      </c>
    </row>
    <row r="13" spans="5:19" x14ac:dyDescent="0.3">
      <c r="E13" s="5" t="s">
        <v>30</v>
      </c>
      <c r="F13" s="1" t="s">
        <v>16</v>
      </c>
      <c r="G13" s="1">
        <v>3000</v>
      </c>
      <c r="H13" s="11">
        <f>الرئيسى[[#This Row],[القيمه]]*0.14</f>
        <v>420.00000000000006</v>
      </c>
      <c r="I13" s="3">
        <f>الرئيسى[[#This Row],[القيمه]]-الرئيسى[[#This Row],[الضريبه]]</f>
        <v>2580</v>
      </c>
      <c r="J13" s="1" t="s">
        <v>18</v>
      </c>
      <c r="K13" s="14">
        <v>44453</v>
      </c>
      <c r="L13" s="9" t="s">
        <v>22</v>
      </c>
      <c r="O13" s="5" t="s">
        <v>15</v>
      </c>
      <c r="P13" s="3">
        <f>SUMIFS(الرئيسى[[الصافي ]],الرئيسى[[اسم العميل ]],O13,الرئيسى[البيان],"فاتوره")+SUMIFS(الرئيسى[[الصافي ]],الرئيسى[[اسم العميل ]],O13,الرئيسى[البيان],"مرتجع")+SUMIFS(الرئيسى[[الصافي ]],الرئيسى[[اسم العميل ]],O13,الرئيسى[البيان],"خصم")</f>
        <v>7740</v>
      </c>
      <c r="Q13" s="1" t="str">
        <f>VLOOKUP(مختصر[[#This Row],[اسم العميل]],'قاعدة البيانات'!D17:$E$18,2,FALSE)</f>
        <v>المنصورة</v>
      </c>
      <c r="R13" s="1" t="str">
        <f>IF(مختصر[[#This Row],[صافي المبيعات]]&gt;20000,"عميل مهم",IF(P13&gt;7000,"عميل قوى","عميل عادى"))</f>
        <v>عميل قوى</v>
      </c>
      <c r="S13" s="23">
        <f>مختصر[[#This Row],[صافي المبيعات]]/SUM(مختصر[صافي المبيعات])</f>
        <v>7.792207792207792E-2</v>
      </c>
    </row>
    <row r="14" spans="5:19" x14ac:dyDescent="0.3">
      <c r="E14" s="5" t="s">
        <v>15</v>
      </c>
      <c r="F14" s="1" t="s">
        <v>16</v>
      </c>
      <c r="G14" s="1">
        <v>9000</v>
      </c>
      <c r="H14" s="11">
        <f>الرئيسى[[#This Row],[القيمه]]*0.14</f>
        <v>1260.0000000000002</v>
      </c>
      <c r="I14" s="3">
        <f>الرئيسى[[#This Row],[القيمه]]-الرئيسى[[#This Row],[الضريبه]]</f>
        <v>7740</v>
      </c>
      <c r="J14" s="1" t="s">
        <v>2</v>
      </c>
      <c r="K14" s="14">
        <v>44483</v>
      </c>
      <c r="L14" s="9" t="s">
        <v>23</v>
      </c>
      <c r="O14" s="7" t="s">
        <v>33</v>
      </c>
      <c r="P14" s="13">
        <f>SUMIFS(الرئيسى[[الصافي ]],الرئيسى[[اسم العميل ]],O14,الرئيسى[البيان],"فاتوره")+SUMIFS(الرئيسى[[الصافي ]],الرئيسى[[اسم العميل ]],O14,الرئيسى[البيان],"مرتجع")+SUMIFS(الرئيسى[[الصافي ]],الرئيسى[[اسم العميل ]],O14,الرئيسى[البيان],"خصم")</f>
        <v>13760</v>
      </c>
      <c r="Q14" s="2" t="str">
        <f>VLOOKUP(مختصر[[#This Row],[اسم العميل]],'قاعدة البيانات'!D18:$E$18,2,FALSE)</f>
        <v>الشرقية</v>
      </c>
      <c r="R14" s="2" t="str">
        <f>IF(مختصر[[#This Row],[صافي المبيعات]]&gt;20000,"عميل مهم",IF(P14&gt;7000,"عميل قوى","عميل عادى"))</f>
        <v>عميل قوى</v>
      </c>
      <c r="S14" s="23">
        <f>مختصر[[#This Row],[صافي المبيعات]]/SUM(مختصر[صافي المبيعات])</f>
        <v>0.13852813852813853</v>
      </c>
    </row>
    <row r="15" spans="5:19" x14ac:dyDescent="0.3">
      <c r="E15" s="5" t="s">
        <v>33</v>
      </c>
      <c r="F15" s="1" t="s">
        <v>16</v>
      </c>
      <c r="G15" s="1">
        <v>16000</v>
      </c>
      <c r="H15" s="11">
        <f>الرئيسى[[#This Row],[القيمه]]*0.14</f>
        <v>2240</v>
      </c>
      <c r="I15" s="3">
        <f>الرئيسى[[#This Row],[القيمه]]-الرئيسى[[#This Row],[الضريبه]]</f>
        <v>13760</v>
      </c>
      <c r="J15" s="1" t="s">
        <v>21</v>
      </c>
      <c r="K15" s="14">
        <v>44514</v>
      </c>
      <c r="L15" s="9" t="s">
        <v>24</v>
      </c>
      <c r="O15" s="20"/>
      <c r="P15" s="21"/>
      <c r="Q15" s="20"/>
      <c r="R15" s="20"/>
      <c r="S15" s="20"/>
    </row>
    <row r="16" spans="5:19" x14ac:dyDescent="0.3">
      <c r="E16" s="5" t="s">
        <v>13</v>
      </c>
      <c r="F16" s="1" t="s">
        <v>16</v>
      </c>
      <c r="G16" s="1">
        <v>10000</v>
      </c>
      <c r="H16" s="11">
        <f>الرئيسى[[#This Row],[القيمه]]*0.14</f>
        <v>1400.0000000000002</v>
      </c>
      <c r="I16" s="3">
        <f>الرئيسى[[#This Row],[القيمه]]-الرئيسى[[#This Row],[الضريبه]]</f>
        <v>8600</v>
      </c>
      <c r="J16" s="1" t="s">
        <v>21</v>
      </c>
      <c r="K16" s="14">
        <v>44544</v>
      </c>
      <c r="L16" s="9" t="s">
        <v>25</v>
      </c>
      <c r="O16" s="20"/>
      <c r="P16" s="21"/>
      <c r="Q16" s="20"/>
      <c r="R16" s="20"/>
      <c r="S16" s="20"/>
    </row>
    <row r="17" spans="5:15" x14ac:dyDescent="0.3">
      <c r="E17" s="5" t="s">
        <v>29</v>
      </c>
      <c r="F17" s="1" t="s">
        <v>17</v>
      </c>
      <c r="G17" s="1">
        <v>1000</v>
      </c>
      <c r="H17" s="11">
        <f>الرئيسى[[#This Row],[القيمه]]*0.14</f>
        <v>140</v>
      </c>
      <c r="I17" s="3">
        <f>-(الرئيسى[[#This Row],[القيمه]]-الرئيسى[[#This Row],[الضريبه]])</f>
        <v>-860</v>
      </c>
      <c r="J17" s="1" t="s">
        <v>3</v>
      </c>
      <c r="K17" s="14">
        <v>44362</v>
      </c>
      <c r="L17" s="9" t="s">
        <v>25</v>
      </c>
      <c r="N17" s="20"/>
      <c r="O17" s="20"/>
    </row>
    <row r="18" spans="5:15" x14ac:dyDescent="0.3">
      <c r="E18" s="5" t="s">
        <v>11</v>
      </c>
      <c r="F18" s="1" t="s">
        <v>1</v>
      </c>
      <c r="G18" s="1">
        <v>2000</v>
      </c>
      <c r="H18" s="11">
        <f>الرئيسى[[#This Row],[القيمه]]*0.14</f>
        <v>280</v>
      </c>
      <c r="I18" s="3">
        <f>-(الرئيسى[[#This Row],[القيمه]]-الرئيسى[[#This Row],[الضريبه]])</f>
        <v>-1720</v>
      </c>
      <c r="J18" s="1" t="s">
        <v>19</v>
      </c>
      <c r="K18" s="14">
        <v>44363</v>
      </c>
      <c r="L18" s="9" t="s">
        <v>22</v>
      </c>
      <c r="N18" s="20"/>
      <c r="O18" s="20"/>
    </row>
    <row r="19" spans="5:15" x14ac:dyDescent="0.3">
      <c r="E19" s="5" t="s">
        <v>12</v>
      </c>
      <c r="F19" s="1" t="s">
        <v>1</v>
      </c>
      <c r="G19" s="1">
        <v>500</v>
      </c>
      <c r="H19" s="11">
        <f>الرئيسى[[#This Row],[القيمه]]*0.14</f>
        <v>70</v>
      </c>
      <c r="I19" s="3">
        <f>-(الرئيسى[[#This Row],[القيمه]]-الرئيسى[[#This Row],[الضريبه]])</f>
        <v>-430</v>
      </c>
      <c r="J19" s="1" t="s">
        <v>18</v>
      </c>
      <c r="K19" s="14">
        <v>44364</v>
      </c>
      <c r="L19" s="9" t="s">
        <v>23</v>
      </c>
      <c r="N19" s="20"/>
      <c r="O19" s="20"/>
    </row>
    <row r="20" spans="5:15" x14ac:dyDescent="0.3">
      <c r="E20" s="5" t="s">
        <v>32</v>
      </c>
      <c r="F20" s="1" t="s">
        <v>17</v>
      </c>
      <c r="G20" s="1">
        <v>1000</v>
      </c>
      <c r="H20" s="11">
        <f>الرئيسى[[#This Row],[القيمه]]*0.14</f>
        <v>140</v>
      </c>
      <c r="I20" s="3">
        <f>-(الرئيسى[[#This Row],[القيمه]]-الرئيسى[[#This Row],[الضريبه]])</f>
        <v>-860</v>
      </c>
      <c r="J20" s="1" t="s">
        <v>2</v>
      </c>
      <c r="K20" s="14">
        <v>44365</v>
      </c>
      <c r="L20" s="9" t="s">
        <v>24</v>
      </c>
      <c r="N20" s="20"/>
      <c r="O20" s="20"/>
    </row>
    <row r="21" spans="5:15" x14ac:dyDescent="0.3">
      <c r="E21" s="5" t="s">
        <v>13</v>
      </c>
      <c r="F21" s="1" t="s">
        <v>17</v>
      </c>
      <c r="G21" s="1">
        <v>2000</v>
      </c>
      <c r="H21" s="11">
        <f>الرئيسى[[#This Row],[القيمه]]*0.14</f>
        <v>280</v>
      </c>
      <c r="I21" s="3">
        <f>-(الرئيسى[[#This Row],[القيمه]]-الرئيسى[[#This Row],[الضريبه]])</f>
        <v>-1720</v>
      </c>
      <c r="J21" s="1" t="s">
        <v>20</v>
      </c>
      <c r="K21" s="14">
        <v>44368</v>
      </c>
      <c r="L21" s="9" t="s">
        <v>22</v>
      </c>
      <c r="N21" s="20"/>
      <c r="O21" s="20"/>
    </row>
    <row r="22" spans="5:15" x14ac:dyDescent="0.3">
      <c r="E22" s="7" t="s">
        <v>32</v>
      </c>
      <c r="F22" s="2" t="s">
        <v>16</v>
      </c>
      <c r="G22" s="2">
        <v>5000</v>
      </c>
      <c r="H22" s="12">
        <f>الرئيسى[[#This Row],[القيمه]]*0.14</f>
        <v>700.00000000000011</v>
      </c>
      <c r="I22" s="13">
        <f>الرئيسى[[#This Row],[القيمه]]-الرئيسى[[#This Row],[الضريبه]]</f>
        <v>4300</v>
      </c>
      <c r="J22" s="2" t="s">
        <v>2</v>
      </c>
      <c r="K22" s="15">
        <v>44362</v>
      </c>
      <c r="L22" s="8" t="s">
        <v>24</v>
      </c>
      <c r="N22" s="20"/>
      <c r="O22" s="20"/>
    </row>
    <row r="23" spans="5:15" x14ac:dyDescent="0.3">
      <c r="N23" s="20"/>
      <c r="O23" s="20"/>
    </row>
    <row r="24" spans="5:15" x14ac:dyDescent="0.3">
      <c r="E24" s="20"/>
      <c r="F24" s="20"/>
      <c r="G24" s="20"/>
      <c r="H24" s="20"/>
      <c r="I24" s="20"/>
      <c r="J24" s="20"/>
      <c r="K24" s="20"/>
      <c r="N24" s="20"/>
      <c r="O24" s="20"/>
    </row>
    <row r="25" spans="5:15" x14ac:dyDescent="0.3">
      <c r="E25" s="20"/>
      <c r="F25" s="20"/>
      <c r="G25" s="20"/>
      <c r="H25" s="20"/>
      <c r="I25" s="20"/>
      <c r="J25" s="20"/>
      <c r="K25" s="20"/>
      <c r="N25" s="20"/>
      <c r="O25" s="20"/>
    </row>
    <row r="26" spans="5:15" x14ac:dyDescent="0.3">
      <c r="E26" s="20"/>
      <c r="F26" s="20"/>
      <c r="G26" s="20"/>
      <c r="H26" s="20"/>
      <c r="I26" s="20"/>
      <c r="J26" s="20"/>
      <c r="K26" s="20"/>
      <c r="N26" s="20"/>
      <c r="O26" s="20"/>
    </row>
    <row r="27" spans="5:15" x14ac:dyDescent="0.3">
      <c r="E27" s="20"/>
      <c r="F27" s="20"/>
      <c r="G27" s="20"/>
      <c r="H27" s="20"/>
      <c r="I27" s="20"/>
      <c r="J27" s="20"/>
      <c r="K27" s="20"/>
      <c r="N27" s="20"/>
      <c r="O27" s="20"/>
    </row>
    <row r="28" spans="5:15" x14ac:dyDescent="0.3">
      <c r="E28" s="20"/>
      <c r="F28" s="20"/>
      <c r="G28" s="20"/>
      <c r="H28" s="20"/>
      <c r="I28" s="20"/>
      <c r="J28" s="20"/>
      <c r="K28" s="20"/>
      <c r="N28" s="20"/>
      <c r="O28" s="20"/>
    </row>
    <row r="29" spans="5:15" x14ac:dyDescent="0.3">
      <c r="E29" s="20"/>
      <c r="F29" s="20"/>
      <c r="G29" s="20"/>
      <c r="H29" s="20"/>
      <c r="I29" s="20"/>
      <c r="J29" s="20"/>
      <c r="K29" s="20"/>
      <c r="N29" s="20"/>
      <c r="O29" s="20"/>
    </row>
    <row r="30" spans="5:15" x14ac:dyDescent="0.3">
      <c r="E30" s="20"/>
      <c r="F30" s="20"/>
      <c r="G30" s="20"/>
      <c r="H30" s="20"/>
      <c r="I30" s="20"/>
      <c r="J30" s="20"/>
      <c r="K30" s="20"/>
      <c r="N30" s="20"/>
      <c r="O30" s="20"/>
    </row>
    <row r="31" spans="5:15" x14ac:dyDescent="0.3">
      <c r="E31" s="20"/>
      <c r="F31" s="20"/>
      <c r="G31" s="20"/>
      <c r="H31" s="20"/>
      <c r="I31" s="20"/>
      <c r="J31" s="20"/>
      <c r="K31" s="20"/>
      <c r="N31" s="20"/>
      <c r="O31" s="20"/>
    </row>
    <row r="32" spans="5:15" x14ac:dyDescent="0.3">
      <c r="E32" s="20"/>
      <c r="F32" s="20"/>
      <c r="G32" s="20"/>
      <c r="H32" s="20"/>
      <c r="I32" s="20"/>
      <c r="J32" s="20"/>
      <c r="K32" s="20"/>
    </row>
    <row r="33" spans="5:11" x14ac:dyDescent="0.3">
      <c r="E33" s="20"/>
      <c r="F33" s="20"/>
      <c r="G33" s="20"/>
      <c r="H33" s="20"/>
      <c r="I33" s="20"/>
      <c r="J33" s="20"/>
      <c r="K33" s="20"/>
    </row>
    <row r="34" spans="5:11" x14ac:dyDescent="0.3">
      <c r="E34" s="20"/>
      <c r="F34" s="20"/>
      <c r="G34" s="20"/>
      <c r="H34" s="20"/>
      <c r="I34" s="20"/>
      <c r="J34" s="20"/>
      <c r="K34" s="20"/>
    </row>
    <row r="35" spans="5:11" x14ac:dyDescent="0.3">
      <c r="E35" s="20"/>
      <c r="F35" s="20"/>
      <c r="G35" s="20"/>
      <c r="H35" s="20"/>
      <c r="I35" s="20"/>
      <c r="J35" s="20"/>
      <c r="K35" s="20"/>
    </row>
    <row r="36" spans="5:11" x14ac:dyDescent="0.3">
      <c r="E36" s="20"/>
      <c r="F36" s="20"/>
      <c r="G36" s="20"/>
      <c r="H36" s="20"/>
      <c r="I36" s="20"/>
      <c r="J36" s="20"/>
      <c r="K36" s="20"/>
    </row>
    <row r="37" spans="5:11" x14ac:dyDescent="0.3">
      <c r="E37" s="20"/>
      <c r="F37" s="20"/>
      <c r="G37" s="20"/>
      <c r="H37" s="20"/>
      <c r="I37" s="20"/>
      <c r="J37" s="20"/>
      <c r="K37" s="20"/>
    </row>
    <row r="38" spans="5:11" x14ac:dyDescent="0.3">
      <c r="E38" s="20"/>
      <c r="F38" s="20"/>
      <c r="G38" s="20"/>
      <c r="H38" s="20"/>
      <c r="I38" s="20"/>
      <c r="J38" s="20"/>
      <c r="K38" s="20"/>
    </row>
    <row r="39" spans="5:11" x14ac:dyDescent="0.3">
      <c r="E39" s="20"/>
      <c r="F39" s="20"/>
      <c r="G39" s="20"/>
      <c r="H39" s="20"/>
      <c r="I39" s="20"/>
      <c r="J39" s="20"/>
      <c r="K39" s="20"/>
    </row>
    <row r="40" spans="5:11" x14ac:dyDescent="0.3">
      <c r="E40" s="20"/>
      <c r="F40" s="20"/>
      <c r="G40" s="20"/>
      <c r="H40" s="20"/>
      <c r="I40" s="20"/>
      <c r="J40" s="20"/>
      <c r="K40" s="20"/>
    </row>
    <row r="41" spans="5:11" x14ac:dyDescent="0.3">
      <c r="E41" s="20"/>
      <c r="F41" s="20"/>
      <c r="G41" s="20"/>
      <c r="H41" s="20"/>
      <c r="I41" s="20"/>
      <c r="J41" s="20"/>
      <c r="K41" s="20"/>
    </row>
    <row r="42" spans="5:11" x14ac:dyDescent="0.3">
      <c r="E42" s="20"/>
      <c r="F42" s="20"/>
      <c r="G42" s="20"/>
      <c r="H42" s="20"/>
      <c r="I42" s="20"/>
      <c r="J42" s="20"/>
      <c r="K42" s="20"/>
    </row>
    <row r="43" spans="5:11" x14ac:dyDescent="0.3">
      <c r="E43" s="20"/>
      <c r="F43" s="20"/>
      <c r="G43" s="20"/>
      <c r="H43" s="20"/>
      <c r="I43" s="20"/>
      <c r="J43" s="20"/>
      <c r="K43" s="20"/>
    </row>
    <row r="44" spans="5:11" x14ac:dyDescent="0.3">
      <c r="E44" s="20"/>
      <c r="F44" s="20"/>
      <c r="G44" s="20"/>
      <c r="H44" s="20"/>
      <c r="I44" s="20"/>
      <c r="J44" s="20"/>
      <c r="K44" s="20"/>
    </row>
    <row r="45" spans="5:11" x14ac:dyDescent="0.3">
      <c r="E45" s="20"/>
      <c r="F45" s="20"/>
      <c r="G45" s="20"/>
      <c r="H45" s="20"/>
      <c r="I45" s="20"/>
      <c r="J45" s="20"/>
      <c r="K45" s="20"/>
    </row>
    <row r="46" spans="5:11" x14ac:dyDescent="0.3">
      <c r="E46" s="20"/>
      <c r="F46" s="20"/>
      <c r="G46" s="20"/>
      <c r="H46" s="20"/>
      <c r="I46" s="20"/>
      <c r="J46" s="20"/>
      <c r="K46" s="20"/>
    </row>
    <row r="47" spans="5:11" x14ac:dyDescent="0.3">
      <c r="E47" s="20"/>
      <c r="F47" s="20"/>
      <c r="G47" s="20"/>
      <c r="H47" s="20"/>
      <c r="I47" s="20"/>
      <c r="J47" s="20"/>
      <c r="K47" s="20"/>
    </row>
    <row r="48" spans="5:11" x14ac:dyDescent="0.3">
      <c r="E48" s="20"/>
      <c r="F48" s="20"/>
      <c r="G48" s="20"/>
      <c r="H48" s="20"/>
      <c r="I48" s="20"/>
      <c r="J48" s="20"/>
      <c r="K48" s="20"/>
    </row>
  </sheetData>
  <mergeCells count="1">
    <mergeCell ref="E2:L2"/>
  </mergeCells>
  <phoneticPr fontId="1" type="noConversion"/>
  <conditionalFormatting sqref="S5:S14">
    <cfRule type="dataBar" priority="2">
      <dataBar>
        <cfvo type="min"/>
        <cfvo type="max"/>
        <color rgb="FF63C384"/>
      </dataBar>
      <extLst>
        <ext xmlns:x14="http://schemas.microsoft.com/office/spreadsheetml/2009/9/main" uri="{B025F937-C7B1-47D3-B67F-A62EFF666E3E}">
          <x14:id>{B096EFBB-785C-425F-832F-7FAB1C802575}</x14:id>
        </ext>
      </extLst>
    </cfRule>
  </conditionalFormatting>
  <conditionalFormatting sqref="R5:R14">
    <cfRule type="colorScale" priority="1">
      <colorScale>
        <cfvo type="min"/>
        <cfvo type="percentile" val="50"/>
        <cfvo type="max"/>
        <color rgb="FFF8696B"/>
        <color rgb="FFFFEB84"/>
        <color rgb="FF63BE7B"/>
      </colorScale>
    </cfRule>
  </conditionalFormatting>
  <pageMargins left="0.7" right="0.7" top="0.75" bottom="0.75" header="0.3" footer="0.3"/>
  <ignoredErrors>
    <ignoredError sqref="I17:I21" calculatedColumn="1"/>
  </ignoredErrors>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B096EFBB-785C-425F-832F-7FAB1C802575}">
            <x14:dataBar minLength="0" maxLength="100" border="1" negativeBarBorderColorSameAsPositive="0">
              <x14:cfvo type="autoMin"/>
              <x14:cfvo type="autoMax"/>
              <x14:borderColor rgb="FF63C384"/>
              <x14:negativeFillColor rgb="FFFF0000"/>
              <x14:negativeBorderColor rgb="FFFF0000"/>
              <x14:axisColor rgb="FF000000"/>
            </x14:dataBar>
          </x14:cfRule>
          <xm:sqref>S5:S14</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A6E0F-5765-435A-A928-3C2B9644CF5C}">
  <dimension ref="P5:X6"/>
  <sheetViews>
    <sheetView showGridLines="0" rightToLeft="1" tabSelected="1" zoomScale="59" workbookViewId="0">
      <selection activeCell="M5" sqref="M5"/>
    </sheetView>
  </sheetViews>
  <sheetFormatPr defaultRowHeight="14.4" x14ac:dyDescent="0.3"/>
  <sheetData>
    <row r="5" spans="16:24" ht="47.4" customHeight="1" x14ac:dyDescent="0.3">
      <c r="P5" s="35" t="s">
        <v>51</v>
      </c>
      <c r="Q5" s="35"/>
      <c r="R5" s="35"/>
      <c r="S5" s="35"/>
      <c r="T5" s="35"/>
      <c r="U5" s="35"/>
      <c r="V5" s="35"/>
    </row>
    <row r="6" spans="16:24" ht="14.4" customHeight="1" x14ac:dyDescent="0.3">
      <c r="P6" s="35"/>
      <c r="Q6" s="35"/>
      <c r="R6" s="35"/>
      <c r="S6" s="35"/>
      <c r="T6" s="35"/>
      <c r="U6" s="35"/>
      <c r="V6" s="35"/>
      <c r="X6" s="34"/>
    </row>
  </sheetData>
  <mergeCells count="1">
    <mergeCell ref="P5:V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D6511-1844-4B23-889F-339D69B5463B}">
  <dimension ref="D8:E18"/>
  <sheetViews>
    <sheetView rightToLeft="1" workbookViewId="0">
      <selection activeCell="D8" sqref="D8:E18"/>
    </sheetView>
  </sheetViews>
  <sheetFormatPr defaultRowHeight="14.4" x14ac:dyDescent="0.3"/>
  <cols>
    <col min="4" max="4" width="12.109375" bestFit="1" customWidth="1"/>
  </cols>
  <sheetData>
    <row r="8" spans="4:5" x14ac:dyDescent="0.3">
      <c r="D8" s="19" t="s">
        <v>43</v>
      </c>
      <c r="E8" s="19" t="s">
        <v>45</v>
      </c>
    </row>
    <row r="9" spans="4:5" x14ac:dyDescent="0.3">
      <c r="D9" s="22" t="s">
        <v>11</v>
      </c>
      <c r="E9" s="1" t="s">
        <v>19</v>
      </c>
    </row>
    <row r="10" spans="4:5" x14ac:dyDescent="0.3">
      <c r="D10" s="22" t="s">
        <v>12</v>
      </c>
      <c r="E10" s="1" t="s">
        <v>18</v>
      </c>
    </row>
    <row r="11" spans="4:5" x14ac:dyDescent="0.3">
      <c r="D11" s="22" t="s">
        <v>32</v>
      </c>
      <c r="E11" s="1" t="s">
        <v>37</v>
      </c>
    </row>
    <row r="12" spans="4:5" x14ac:dyDescent="0.3">
      <c r="D12" s="22" t="s">
        <v>29</v>
      </c>
      <c r="E12" s="1" t="s">
        <v>3</v>
      </c>
    </row>
    <row r="13" spans="4:5" x14ac:dyDescent="0.3">
      <c r="D13" s="22" t="s">
        <v>13</v>
      </c>
      <c r="E13" s="1" t="s">
        <v>36</v>
      </c>
    </row>
    <row r="14" spans="4:5" x14ac:dyDescent="0.3">
      <c r="D14" s="22" t="s">
        <v>14</v>
      </c>
      <c r="E14" s="1" t="s">
        <v>4</v>
      </c>
    </row>
    <row r="15" spans="4:5" x14ac:dyDescent="0.3">
      <c r="D15" s="22" t="s">
        <v>31</v>
      </c>
      <c r="E15" s="1" t="s">
        <v>3</v>
      </c>
    </row>
    <row r="16" spans="4:5" x14ac:dyDescent="0.3">
      <c r="D16" s="22" t="s">
        <v>30</v>
      </c>
      <c r="E16" s="1" t="s">
        <v>18</v>
      </c>
    </row>
    <row r="17" spans="4:5" x14ac:dyDescent="0.3">
      <c r="D17" s="22" t="s">
        <v>15</v>
      </c>
      <c r="E17" s="1" t="s">
        <v>37</v>
      </c>
    </row>
    <row r="18" spans="4:5" x14ac:dyDescent="0.3">
      <c r="D18" s="22" t="s">
        <v>33</v>
      </c>
      <c r="E18" s="1" t="s">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3672F-653F-4423-8550-D2D9811891EF}">
  <dimension ref="A3:B7"/>
  <sheetViews>
    <sheetView rightToLeft="1" workbookViewId="0">
      <selection activeCell="C18" sqref="C18"/>
    </sheetView>
  </sheetViews>
  <sheetFormatPr defaultRowHeight="14.4" x14ac:dyDescent="0.3"/>
  <cols>
    <col min="1" max="1" width="12.44140625" bestFit="1" customWidth="1"/>
    <col min="2" max="2" width="11.5546875" bestFit="1" customWidth="1"/>
  </cols>
  <sheetData>
    <row r="3" spans="1:2" x14ac:dyDescent="0.3">
      <c r="A3" s="16" t="s">
        <v>28</v>
      </c>
      <c r="B3" t="s">
        <v>35</v>
      </c>
    </row>
    <row r="4" spans="1:2" x14ac:dyDescent="0.3">
      <c r="A4" s="17" t="s">
        <v>30</v>
      </c>
      <c r="B4" s="33">
        <v>2580</v>
      </c>
    </row>
    <row r="5" spans="1:2" x14ac:dyDescent="0.3">
      <c r="A5" s="17" t="s">
        <v>32</v>
      </c>
      <c r="B5" s="33">
        <v>9460</v>
      </c>
    </row>
    <row r="6" spans="1:2" x14ac:dyDescent="0.3">
      <c r="A6" s="17" t="s">
        <v>33</v>
      </c>
      <c r="B6" s="33">
        <v>13760</v>
      </c>
    </row>
    <row r="7" spans="1:2" x14ac:dyDescent="0.3">
      <c r="A7" s="17" t="s">
        <v>34</v>
      </c>
      <c r="B7" s="33">
        <v>25800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6135-0E11-4E5E-8424-76F55D9FA1C9}">
  <dimension ref="A4:P22"/>
  <sheetViews>
    <sheetView rightToLeft="1" workbookViewId="0">
      <selection activeCell="B13" sqref="B13"/>
    </sheetView>
  </sheetViews>
  <sheetFormatPr defaultRowHeight="14.4" x14ac:dyDescent="0.3"/>
  <cols>
    <col min="1" max="1" width="12.44140625" bestFit="1" customWidth="1"/>
    <col min="2" max="2" width="11.5546875" bestFit="1" customWidth="1"/>
  </cols>
  <sheetData>
    <row r="4" spans="1:16" x14ac:dyDescent="0.3">
      <c r="A4" s="16" t="s">
        <v>28</v>
      </c>
      <c r="B4" t="s">
        <v>35</v>
      </c>
    </row>
    <row r="5" spans="1:16" x14ac:dyDescent="0.3">
      <c r="A5" s="17" t="s">
        <v>50</v>
      </c>
      <c r="B5" s="33">
        <v>2580</v>
      </c>
      <c r="N5" s="24"/>
      <c r="O5" s="25"/>
      <c r="P5" s="26"/>
    </row>
    <row r="6" spans="1:16" x14ac:dyDescent="0.3">
      <c r="A6" s="17" t="s">
        <v>49</v>
      </c>
      <c r="B6" s="33">
        <v>23220</v>
      </c>
      <c r="N6" s="27"/>
      <c r="O6" s="28"/>
      <c r="P6" s="29"/>
    </row>
    <row r="7" spans="1:16" x14ac:dyDescent="0.3">
      <c r="A7" s="17" t="s">
        <v>34</v>
      </c>
      <c r="B7" s="33">
        <v>25800</v>
      </c>
      <c r="N7" s="27"/>
      <c r="O7" s="28"/>
      <c r="P7" s="29"/>
    </row>
    <row r="8" spans="1:16" x14ac:dyDescent="0.3">
      <c r="N8" s="27"/>
      <c r="O8" s="28"/>
      <c r="P8" s="29"/>
    </row>
    <row r="9" spans="1:16" x14ac:dyDescent="0.3">
      <c r="N9" s="27"/>
      <c r="O9" s="28"/>
      <c r="P9" s="29"/>
    </row>
    <row r="10" spans="1:16" x14ac:dyDescent="0.3">
      <c r="N10" s="27"/>
      <c r="O10" s="28"/>
      <c r="P10" s="29"/>
    </row>
    <row r="11" spans="1:16" x14ac:dyDescent="0.3">
      <c r="N11" s="27"/>
      <c r="O11" s="28"/>
      <c r="P11" s="29"/>
    </row>
    <row r="12" spans="1:16" x14ac:dyDescent="0.3">
      <c r="N12" s="27"/>
      <c r="O12" s="28"/>
      <c r="P12" s="29"/>
    </row>
    <row r="13" spans="1:16" x14ac:dyDescent="0.3">
      <c r="N13" s="27"/>
      <c r="O13" s="28"/>
      <c r="P13" s="29"/>
    </row>
    <row r="14" spans="1:16" x14ac:dyDescent="0.3">
      <c r="N14" s="27"/>
      <c r="O14" s="28"/>
      <c r="P14" s="29"/>
    </row>
    <row r="15" spans="1:16" x14ac:dyDescent="0.3">
      <c r="N15" s="27"/>
      <c r="O15" s="28"/>
      <c r="P15" s="29"/>
    </row>
    <row r="16" spans="1:16" x14ac:dyDescent="0.3">
      <c r="N16" s="27"/>
      <c r="O16" s="28"/>
      <c r="P16" s="29"/>
    </row>
    <row r="17" spans="14:16" x14ac:dyDescent="0.3">
      <c r="N17" s="27"/>
      <c r="O17" s="28"/>
      <c r="P17" s="29"/>
    </row>
    <row r="18" spans="14:16" x14ac:dyDescent="0.3">
      <c r="N18" s="27"/>
      <c r="O18" s="28"/>
      <c r="P18" s="29"/>
    </row>
    <row r="19" spans="14:16" x14ac:dyDescent="0.3">
      <c r="N19" s="27"/>
      <c r="O19" s="28"/>
      <c r="P19" s="29"/>
    </row>
    <row r="20" spans="14:16" x14ac:dyDescent="0.3">
      <c r="N20" s="27"/>
      <c r="O20" s="28"/>
      <c r="P20" s="29"/>
    </row>
    <row r="21" spans="14:16" x14ac:dyDescent="0.3">
      <c r="N21" s="27"/>
      <c r="O21" s="28"/>
      <c r="P21" s="29"/>
    </row>
    <row r="22" spans="14:16" x14ac:dyDescent="0.3">
      <c r="N22" s="30"/>
      <c r="O22" s="31"/>
      <c r="P22" s="32"/>
    </row>
  </sheetData>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D08D8-3286-4A70-9889-20C6582021F8}">
  <dimension ref="A3:B8"/>
  <sheetViews>
    <sheetView rightToLeft="1" workbookViewId="0">
      <selection activeCell="A5" sqref="A5"/>
    </sheetView>
  </sheetViews>
  <sheetFormatPr defaultRowHeight="14.4" x14ac:dyDescent="0.3"/>
  <cols>
    <col min="1" max="1" width="12.44140625" bestFit="1" customWidth="1"/>
    <col min="2" max="2" width="11.5546875" bestFit="1" customWidth="1"/>
  </cols>
  <sheetData>
    <row r="3" spans="1:2" x14ac:dyDescent="0.3">
      <c r="A3" s="16" t="s">
        <v>28</v>
      </c>
      <c r="B3" t="s">
        <v>35</v>
      </c>
    </row>
    <row r="4" spans="1:2" x14ac:dyDescent="0.3">
      <c r="A4" s="17" t="s">
        <v>18</v>
      </c>
      <c r="B4" s="33">
        <v>2580</v>
      </c>
    </row>
    <row r="5" spans="1:2" x14ac:dyDescent="0.3">
      <c r="A5" s="17" t="s">
        <v>19</v>
      </c>
      <c r="B5" s="33">
        <v>1720</v>
      </c>
    </row>
    <row r="6" spans="1:2" x14ac:dyDescent="0.3">
      <c r="A6" s="17" t="s">
        <v>21</v>
      </c>
      <c r="B6" s="33">
        <v>13760</v>
      </c>
    </row>
    <row r="7" spans="1:2" x14ac:dyDescent="0.3">
      <c r="A7" s="17" t="s">
        <v>37</v>
      </c>
      <c r="B7" s="33">
        <v>7740</v>
      </c>
    </row>
    <row r="8" spans="1:2" x14ac:dyDescent="0.3">
      <c r="A8" s="17" t="s">
        <v>34</v>
      </c>
      <c r="B8" s="33">
        <v>25800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9719E-A224-4159-82A4-D28E23242D17}">
  <dimension ref="A4:B8"/>
  <sheetViews>
    <sheetView rightToLeft="1" workbookViewId="0">
      <selection activeCell="H26" sqref="H26"/>
    </sheetView>
  </sheetViews>
  <sheetFormatPr defaultRowHeight="14.4" x14ac:dyDescent="0.3"/>
  <cols>
    <col min="1" max="1" width="12.44140625" bestFit="1" customWidth="1"/>
    <col min="2" max="2" width="11.5546875" bestFit="1" customWidth="1"/>
  </cols>
  <sheetData>
    <row r="4" spans="1:2" x14ac:dyDescent="0.3">
      <c r="A4" s="16" t="s">
        <v>28</v>
      </c>
      <c r="B4" t="s">
        <v>35</v>
      </c>
    </row>
    <row r="5" spans="1:2" x14ac:dyDescent="0.3">
      <c r="A5" s="17" t="s">
        <v>25</v>
      </c>
      <c r="B5" s="33">
        <v>1720</v>
      </c>
    </row>
    <row r="6" spans="1:2" x14ac:dyDescent="0.3">
      <c r="A6" s="17" t="s">
        <v>22</v>
      </c>
      <c r="B6" s="33">
        <v>2580</v>
      </c>
    </row>
    <row r="7" spans="1:2" x14ac:dyDescent="0.3">
      <c r="A7" s="17" t="s">
        <v>24</v>
      </c>
      <c r="B7" s="33">
        <v>21500</v>
      </c>
    </row>
    <row r="8" spans="1:2" x14ac:dyDescent="0.3">
      <c r="A8" s="17" t="s">
        <v>34</v>
      </c>
      <c r="B8" s="33">
        <v>25800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80A2F-2F65-4F73-AB4D-CACC1771D5D8}">
  <dimension ref="A3:B9"/>
  <sheetViews>
    <sheetView rightToLeft="1" workbookViewId="0">
      <selection activeCell="C10" sqref="C10"/>
    </sheetView>
  </sheetViews>
  <sheetFormatPr defaultRowHeight="14.4" x14ac:dyDescent="0.3"/>
  <cols>
    <col min="1" max="1" width="12.44140625" bestFit="1" customWidth="1"/>
    <col min="2" max="2" width="11.5546875" bestFit="1" customWidth="1"/>
    <col min="3" max="12" width="15.5546875" bestFit="1" customWidth="1"/>
    <col min="13" max="13" width="10.5546875" bestFit="1" customWidth="1"/>
    <col min="14" max="17" width="15.5546875" bestFit="1" customWidth="1"/>
    <col min="18" max="18" width="10.5546875" bestFit="1" customWidth="1"/>
  </cols>
  <sheetData>
    <row r="3" spans="1:2" x14ac:dyDescent="0.3">
      <c r="A3" s="16" t="s">
        <v>28</v>
      </c>
      <c r="B3" t="s">
        <v>35</v>
      </c>
    </row>
    <row r="4" spans="1:2" x14ac:dyDescent="0.3">
      <c r="A4" s="17" t="s">
        <v>38</v>
      </c>
      <c r="B4" s="33">
        <v>4300</v>
      </c>
    </row>
    <row r="5" spans="1:2" x14ac:dyDescent="0.3">
      <c r="A5" s="17" t="s">
        <v>39</v>
      </c>
      <c r="B5" s="33">
        <v>3440</v>
      </c>
    </row>
    <row r="6" spans="1:2" x14ac:dyDescent="0.3">
      <c r="A6" s="17" t="s">
        <v>40</v>
      </c>
      <c r="B6" s="33">
        <v>1720</v>
      </c>
    </row>
    <row r="7" spans="1:2" x14ac:dyDescent="0.3">
      <c r="A7" s="17" t="s">
        <v>41</v>
      </c>
      <c r="B7" s="33">
        <v>2580</v>
      </c>
    </row>
    <row r="8" spans="1:2" x14ac:dyDescent="0.3">
      <c r="A8" s="17" t="s">
        <v>42</v>
      </c>
      <c r="B8" s="33">
        <v>13760</v>
      </c>
    </row>
    <row r="9" spans="1:2" x14ac:dyDescent="0.3">
      <c r="A9" s="17" t="s">
        <v>34</v>
      </c>
      <c r="B9" s="33">
        <v>25800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الرئيسي</vt:lpstr>
      <vt:lpstr>لوحة التحكم</vt:lpstr>
      <vt:lpstr>قاعدة البيانات</vt:lpstr>
      <vt:lpstr>المبيعات بالعملاء</vt:lpstr>
      <vt:lpstr>المبيعات بانواع العملاء</vt:lpstr>
      <vt:lpstr>المبيعات بالمنطقة</vt:lpstr>
      <vt:lpstr>المبيعات بالمندوب </vt:lpstr>
      <vt:lpstr>تريند المبيعات</vt:lpstr>
      <vt:lpstr>الرئيسي!Extract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Haron Kamel Mohamed</dc:creator>
  <cp:lastModifiedBy>Mohamed Haron Kamel Mohamed</cp:lastModifiedBy>
  <dcterms:created xsi:type="dcterms:W3CDTF">2024-02-11T20:01:39Z</dcterms:created>
  <dcterms:modified xsi:type="dcterms:W3CDTF">2024-08-26T23:35:49Z</dcterms:modified>
</cp:coreProperties>
</file>